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월 한달 환산" sheetId="1" state="visible" r:id="rId1"/>
    <sheet xmlns:r="http://schemas.openxmlformats.org/officeDocument/2006/relationships" name="2026-05-01~05-22" sheetId="2" state="visible" r:id="rId2"/>
    <sheet xmlns:r="http://schemas.openxmlformats.org/officeDocument/2006/relationships" name="2026-07-20~08-20" sheetId="3" state="visible" r:id="rId3"/>
  </sheets>
  <definedNames>
    <definedName name="_xlnm._FilterDatabase" localSheetId="0" hidden="1">'5월 한달 환산'!$A$8:$N$53</definedName>
    <definedName name="_xlnm._FilterDatabase" localSheetId="1" hidden="1">'2026-05-01~05-22'!$A$1:$P$46</definedName>
    <definedName name="_xlnm._FilterDatabase" localSheetId="2" hidden="1">'2026-07-20~08-20'!$A$1:$P$113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C00000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2" fillId="3" borderId="0" pivotButton="0" quotePrefix="0" xfId="0"/>
    <xf numFmtId="0" fontId="1" fillId="2" borderId="0" applyAlignment="1" pivotButton="0" quotePrefix="0" xfId="0">
      <alignment horizontal="center" wrapText="1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pane xSplit="2" ySplit="8" topLeftCell="C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32" customWidth="1" min="2" max="2"/>
    <col width="12" customWidth="1" min="3" max="3"/>
    <col width="20" customWidth="1" min="4" max="4"/>
    <col width="10" customWidth="1" min="5" max="5"/>
    <col width="13" customWidth="1" min="6" max="6"/>
    <col width="13" customWidth="1" min="7" max="7"/>
    <col width="15" customWidth="1" min="8" max="8"/>
    <col width="16" customWidth="1" min="9" max="9"/>
    <col width="16" customWidth="1" min="10" max="10"/>
    <col width="17" customWidth="1" min="11" max="11"/>
    <col width="16" customWidth="1" min="12" max="12"/>
    <col width="18" customWidth="1" min="13" max="13"/>
    <col width="16" customWidth="1" min="14" max="14"/>
  </cols>
  <sheetData>
    <row r="1">
      <c r="A1" t="inlineStr">
        <is>
          <t>조회 일수(05-01~05-22)</t>
        </is>
      </c>
      <c r="B1" s="3" t="n">
        <v>22</v>
      </c>
    </row>
    <row r="2">
      <c r="A2" t="inlineStr">
        <is>
          <t>5월 전체 일수</t>
        </is>
      </c>
      <c r="B2" s="3" t="n">
        <v>31</v>
      </c>
    </row>
    <row r="3">
      <c r="A3" t="inlineStr">
        <is>
          <t>조회 영업일 수</t>
        </is>
      </c>
      <c r="B3" s="3" t="n">
        <v>17</v>
      </c>
    </row>
    <row r="4">
      <c r="A4" t="inlineStr">
        <is>
          <t>5월 전체 영업일 수</t>
        </is>
      </c>
      <c r="B4" s="3" t="n">
        <v>23</v>
      </c>
    </row>
    <row r="5">
      <c r="A5" t="inlineStr">
        <is>
          <t>일회성 기준(조제건수 이하는 환산 제외)</t>
        </is>
      </c>
      <c r="B5" s="3" t="n">
        <v>3</v>
      </c>
    </row>
    <row r="6">
      <c r="A6" t="inlineStr">
        <is>
          <t>영업일은 일요일, 5/1, 5/5, 5/25(대체공휴일) 휴무로 가정한 값입니다. 실제 휴무일에 맞게 노란 칸(B3, B4)을 고치면 전체가 다시 계산됩니다.</t>
        </is>
      </c>
    </row>
    <row r="8">
      <c r="A8" s="4" t="inlineStr">
        <is>
          <t>순위</t>
        </is>
      </c>
      <c r="B8" s="4" t="inlineStr">
        <is>
          <t>약품명</t>
        </is>
      </c>
      <c r="C8" s="4" t="inlineStr">
        <is>
          <t>약품코드</t>
        </is>
      </c>
      <c r="D8" s="4" t="inlineStr">
        <is>
          <t>제약회사</t>
        </is>
      </c>
      <c r="E8" s="4" t="inlineStr">
        <is>
          <t>약품단가</t>
        </is>
      </c>
      <c r="F8" s="4" t="inlineStr">
        <is>
          <t>조제수량(1~22일)</t>
        </is>
      </c>
      <c r="G8" s="4" t="inlineStr">
        <is>
          <t>조제건수(1~22일)</t>
        </is>
      </c>
      <c r="H8" s="4" t="inlineStr">
        <is>
          <t>약가합계(1~22일)</t>
        </is>
      </c>
      <c r="I8" s="4" t="inlineStr">
        <is>
          <t>구분</t>
        </is>
      </c>
      <c r="J8" s="4" t="inlineStr">
        <is>
          <t>한달 조제수량(일수 기준)</t>
        </is>
      </c>
      <c r="K8" s="4" t="inlineStr">
        <is>
          <t>한달 약가합계(일수 기준)</t>
        </is>
      </c>
      <c r="L8" s="4" t="inlineStr">
        <is>
          <t>한달 조제수량(영업일 기준)</t>
        </is>
      </c>
      <c r="M8" s="4" t="inlineStr">
        <is>
          <t>한달 약가합계(영업일 기준)</t>
        </is>
      </c>
      <c r="N8" s="4" t="inlineStr">
        <is>
          <t>한달 조제건수(영업일 기준)</t>
        </is>
      </c>
    </row>
    <row r="9">
      <c r="A9" t="n">
        <v>1</v>
      </c>
      <c r="B9" t="inlineStr">
        <is>
          <t>프리그렐정</t>
        </is>
      </c>
      <c r="C9" t="inlineStr">
        <is>
          <t>643304110</t>
        </is>
      </c>
      <c r="D9" t="inlineStr">
        <is>
          <t>종근당</t>
        </is>
      </c>
      <c r="E9" s="5" t="n">
        <v>911</v>
      </c>
      <c r="F9" s="5" t="n">
        <v>18684</v>
      </c>
      <c r="G9" s="5" t="n">
        <v>190</v>
      </c>
      <c r="H9" s="5" t="n">
        <v>17021124</v>
      </c>
      <c r="I9">
        <f>IF(G9&lt;=$B$5,"일회성(환산제외)","")</f>
        <v/>
      </c>
      <c r="J9" s="5">
        <f>IF(I9="",F9*$B$2/$B$1,F9)</f>
        <v/>
      </c>
      <c r="K9" s="5">
        <f>IF(I9="",H9*$B$2/$B$1,H9)</f>
        <v/>
      </c>
      <c r="L9" s="5">
        <f>IF(I9="",F9*$B$4/$B$3,F9)</f>
        <v/>
      </c>
      <c r="M9" s="5">
        <f>IF(I9="",H9*$B$4/$B$3,H9)</f>
        <v/>
      </c>
      <c r="N9" s="5">
        <f>IF(I9="",G9*$B$4/$B$3,G9)</f>
        <v/>
      </c>
    </row>
    <row r="10">
      <c r="A10" t="n">
        <v>2</v>
      </c>
      <c r="B10" t="inlineStr">
        <is>
          <t>글리아티민연질캡슐</t>
        </is>
      </c>
      <c r="C10" t="inlineStr">
        <is>
          <t>694000600</t>
        </is>
      </c>
      <c r="D10" t="inlineStr">
        <is>
          <t>대웅바이오</t>
        </is>
      </c>
      <c r="E10" s="5" t="n">
        <v>476</v>
      </c>
      <c r="F10" s="5" t="n">
        <v>33336</v>
      </c>
      <c r="G10" s="5" t="n">
        <v>263</v>
      </c>
      <c r="H10" s="5" t="n">
        <v>15867936</v>
      </c>
      <c r="I10">
        <f>IF(G10&lt;=$B$5,"일회성(환산제외)","")</f>
        <v/>
      </c>
      <c r="J10" s="5">
        <f>IF(I10="",F10*$B$2/$B$1,F10)</f>
        <v/>
      </c>
      <c r="K10" s="5">
        <f>IF(I10="",H10*$B$2/$B$1,H10)</f>
        <v/>
      </c>
      <c r="L10" s="5">
        <f>IF(I10="",F10*$B$4/$B$3,F10)</f>
        <v/>
      </c>
      <c r="M10" s="5">
        <f>IF(I10="",H10*$B$4/$B$3,H10)</f>
        <v/>
      </c>
      <c r="N10" s="5">
        <f>IF(I10="",G10*$B$4/$B$3,G10)</f>
        <v/>
      </c>
    </row>
    <row r="11">
      <c r="A11" t="n">
        <v>3</v>
      </c>
      <c r="B11" t="inlineStr">
        <is>
          <t>비리어드정</t>
        </is>
      </c>
      <c r="C11" t="inlineStr">
        <is>
          <t>625900040</t>
        </is>
      </c>
      <c r="D11" t="inlineStr">
        <is>
          <t>길리어드</t>
        </is>
      </c>
      <c r="E11" s="5" t="n">
        <v>2501</v>
      </c>
      <c r="F11" s="5" t="n">
        <v>3381</v>
      </c>
      <c r="G11" s="5" t="n">
        <v>35</v>
      </c>
      <c r="H11" s="5" t="n">
        <v>8455881</v>
      </c>
      <c r="I11">
        <f>IF(G11&lt;=$B$5,"일회성(환산제외)","")</f>
        <v/>
      </c>
      <c r="J11" s="5">
        <f>IF(I11="",F11*$B$2/$B$1,F11)</f>
        <v/>
      </c>
      <c r="K11" s="5">
        <f>IF(I11="",H11*$B$2/$B$1,H11)</f>
        <v/>
      </c>
      <c r="L11" s="5">
        <f>IF(I11="",F11*$B$4/$B$3,F11)</f>
        <v/>
      </c>
      <c r="M11" s="5">
        <f>IF(I11="",H11*$B$4/$B$3,H11)</f>
        <v/>
      </c>
      <c r="N11" s="5">
        <f>IF(I11="",G11*$B$4/$B$3,G11)</f>
        <v/>
      </c>
    </row>
    <row r="12">
      <c r="A12" t="n">
        <v>4</v>
      </c>
      <c r="B12" t="inlineStr">
        <is>
          <t>케이캡정50밀리그램</t>
        </is>
      </c>
      <c r="C12" t="inlineStr">
        <is>
          <t>640007270</t>
        </is>
      </c>
      <c r="D12" t="inlineStr">
        <is>
          <t>에이치케이이노엔</t>
        </is>
      </c>
      <c r="E12" s="5" t="n">
        <v>1299</v>
      </c>
      <c r="F12" s="5" t="n">
        <v>6310</v>
      </c>
      <c r="G12" s="5" t="n">
        <v>187</v>
      </c>
      <c r="H12" s="5" t="n">
        <v>8196690</v>
      </c>
      <c r="I12">
        <f>IF(G12&lt;=$B$5,"일회성(환산제외)","")</f>
        <v/>
      </c>
      <c r="J12" s="5">
        <f>IF(I12="",F12*$B$2/$B$1,F12)</f>
        <v/>
      </c>
      <c r="K12" s="5">
        <f>IF(I12="",H12*$B$2/$B$1,H12)</f>
        <v/>
      </c>
      <c r="L12" s="5">
        <f>IF(I12="",F12*$B$4/$B$3,F12)</f>
        <v/>
      </c>
      <c r="M12" s="5">
        <f>IF(I12="",H12*$B$4/$B$3,H12)</f>
        <v/>
      </c>
      <c r="N12" s="5">
        <f>IF(I12="",G12*$B$4/$B$3,G12)</f>
        <v/>
      </c>
    </row>
    <row r="13">
      <c r="A13" t="n">
        <v>5</v>
      </c>
      <c r="B13" t="inlineStr">
        <is>
          <t>플라리스정</t>
        </is>
      </c>
      <c r="C13" t="inlineStr">
        <is>
          <t>647802630</t>
        </is>
      </c>
      <c r="D13" t="inlineStr">
        <is>
          <t>삼진제약</t>
        </is>
      </c>
      <c r="E13" s="5" t="n">
        <v>1077</v>
      </c>
      <c r="F13" s="5" t="n">
        <v>7529</v>
      </c>
      <c r="G13" s="5" t="n">
        <v>84</v>
      </c>
      <c r="H13" s="5" t="n">
        <v>8108733</v>
      </c>
      <c r="I13">
        <f>IF(G13&lt;=$B$5,"일회성(환산제외)","")</f>
        <v/>
      </c>
      <c r="J13" s="5">
        <f>IF(I13="",F13*$B$2/$B$1,F13)</f>
        <v/>
      </c>
      <c r="K13" s="5">
        <f>IF(I13="",H13*$B$2/$B$1,H13)</f>
        <v/>
      </c>
      <c r="L13" s="5">
        <f>IF(I13="",F13*$B$4/$B$3,F13)</f>
        <v/>
      </c>
      <c r="M13" s="5">
        <f>IF(I13="",H13*$B$4/$B$3,H13)</f>
        <v/>
      </c>
      <c r="N13" s="5">
        <f>IF(I13="",G13*$B$4/$B$3,G13)</f>
        <v/>
      </c>
    </row>
    <row r="14">
      <c r="A14" t="n">
        <v>6</v>
      </c>
      <c r="B14" t="inlineStr">
        <is>
          <t>카소비드정</t>
        </is>
      </c>
      <c r="C14" t="inlineStr">
        <is>
          <t>648503130</t>
        </is>
      </c>
      <c r="D14" t="inlineStr">
        <is>
          <t>신풍제약</t>
        </is>
      </c>
      <c r="E14" s="5" t="n">
        <v>3592</v>
      </c>
      <c r="F14" s="5" t="n">
        <v>2136</v>
      </c>
      <c r="G14" s="5" t="n">
        <v>28</v>
      </c>
      <c r="H14" s="5" t="n">
        <v>7672512</v>
      </c>
      <c r="I14">
        <f>IF(G14&lt;=$B$5,"일회성(환산제외)","")</f>
        <v/>
      </c>
      <c r="J14" s="5">
        <f>IF(I14="",F14*$B$2/$B$1,F14)</f>
        <v/>
      </c>
      <c r="K14" s="5">
        <f>IF(I14="",H14*$B$2/$B$1,H14)</f>
        <v/>
      </c>
      <c r="L14" s="5">
        <f>IF(I14="",F14*$B$4/$B$3,F14)</f>
        <v/>
      </c>
      <c r="M14" s="5">
        <f>IF(I14="",H14*$B$4/$B$3,H14)</f>
        <v/>
      </c>
      <c r="N14" s="5">
        <f>IF(I14="",G14*$B$4/$B$3,G14)</f>
        <v/>
      </c>
    </row>
    <row r="15">
      <c r="A15" t="n">
        <v>7</v>
      </c>
      <c r="B15" t="inlineStr">
        <is>
          <t>브레트라정</t>
        </is>
      </c>
      <c r="C15" t="inlineStr">
        <is>
          <t>648501310</t>
        </is>
      </c>
      <c r="D15" t="inlineStr">
        <is>
          <t>신풍제약</t>
        </is>
      </c>
      <c r="E15" s="5" t="n">
        <v>2904</v>
      </c>
      <c r="F15" s="5" t="n">
        <v>2326</v>
      </c>
      <c r="G15" s="5" t="n">
        <v>27</v>
      </c>
      <c r="H15" s="5" t="n">
        <v>6754704</v>
      </c>
      <c r="I15">
        <f>IF(G15&lt;=$B$5,"일회성(환산제외)","")</f>
        <v/>
      </c>
      <c r="J15" s="5">
        <f>IF(I15="",F15*$B$2/$B$1,F15)</f>
        <v/>
      </c>
      <c r="K15" s="5">
        <f>IF(I15="",H15*$B$2/$B$1,H15)</f>
        <v/>
      </c>
      <c r="L15" s="5">
        <f>IF(I15="",F15*$B$4/$B$3,F15)</f>
        <v/>
      </c>
      <c r="M15" s="5">
        <f>IF(I15="",H15*$B$4/$B$3,H15)</f>
        <v/>
      </c>
      <c r="N15" s="5">
        <f>IF(I15="",G15*$B$4/$B$3,G15)</f>
        <v/>
      </c>
    </row>
    <row r="16">
      <c r="A16" t="n">
        <v>8</v>
      </c>
      <c r="B16" t="inlineStr">
        <is>
          <t>이지산트정10/10밀리그램</t>
        </is>
      </c>
      <c r="C16" t="inlineStr">
        <is>
          <t>641906350</t>
        </is>
      </c>
      <c r="D16" t="inlineStr">
        <is>
          <t>(주)보령</t>
        </is>
      </c>
      <c r="E16" s="5" t="n">
        <v>1063</v>
      </c>
      <c r="F16" s="5" t="n">
        <v>6054</v>
      </c>
      <c r="G16" s="5" t="n">
        <v>56</v>
      </c>
      <c r="H16" s="5" t="n">
        <v>6435402</v>
      </c>
      <c r="I16">
        <f>IF(G16&lt;=$B$5,"일회성(환산제외)","")</f>
        <v/>
      </c>
      <c r="J16" s="5">
        <f>IF(I16="",F16*$B$2/$B$1,F16)</f>
        <v/>
      </c>
      <c r="K16" s="5">
        <f>IF(I16="",H16*$B$2/$B$1,H16)</f>
        <v/>
      </c>
      <c r="L16" s="5">
        <f>IF(I16="",F16*$B$4/$B$3,F16)</f>
        <v/>
      </c>
      <c r="M16" s="5">
        <f>IF(I16="",H16*$B$4/$B$3,H16)</f>
        <v/>
      </c>
      <c r="N16" s="5">
        <f>IF(I16="",G16*$B$4/$B$3,G16)</f>
        <v/>
      </c>
    </row>
    <row r="17">
      <c r="A17" t="n">
        <v>9</v>
      </c>
      <c r="B17" t="inlineStr">
        <is>
          <t>베믈리디정</t>
        </is>
      </c>
      <c r="C17" t="inlineStr">
        <is>
          <t>625900120</t>
        </is>
      </c>
      <c r="D17" t="inlineStr">
        <is>
          <t>길리어드</t>
        </is>
      </c>
      <c r="E17" s="5" t="n">
        <v>3139</v>
      </c>
      <c r="F17" s="5" t="n">
        <v>1872</v>
      </c>
      <c r="G17" s="5" t="n">
        <v>25</v>
      </c>
      <c r="H17" s="5" t="n">
        <v>5876208</v>
      </c>
      <c r="I17">
        <f>IF(G17&lt;=$B$5,"일회성(환산제외)","")</f>
        <v/>
      </c>
      <c r="J17" s="5">
        <f>IF(I17="",F17*$B$2/$B$1,F17)</f>
        <v/>
      </c>
      <c r="K17" s="5">
        <f>IF(I17="",H17*$B$2/$B$1,H17)</f>
        <v/>
      </c>
      <c r="L17" s="5">
        <f>IF(I17="",F17*$B$4/$B$3,F17)</f>
        <v/>
      </c>
      <c r="M17" s="5">
        <f>IF(I17="",H17*$B$4/$B$3,H17)</f>
        <v/>
      </c>
      <c r="N17" s="5">
        <f>IF(I17="",G17*$B$4/$B$3,G17)</f>
        <v/>
      </c>
    </row>
    <row r="18">
      <c r="A18" t="n">
        <v>10</v>
      </c>
      <c r="B18" t="inlineStr">
        <is>
          <t>펜졸캡슐</t>
        </is>
      </c>
      <c r="C18" t="inlineStr">
        <is>
          <t>643305980</t>
        </is>
      </c>
      <c r="D18" t="inlineStr">
        <is>
          <t>(주)종근당</t>
        </is>
      </c>
      <c r="E18" s="5" t="n">
        <v>2264</v>
      </c>
      <c r="F18" s="5" t="n">
        <v>2562</v>
      </c>
      <c r="G18" s="5" t="n">
        <v>15</v>
      </c>
      <c r="H18" s="5" t="n">
        <v>5800368</v>
      </c>
      <c r="I18">
        <f>IF(G18&lt;=$B$5,"일회성(환산제외)","")</f>
        <v/>
      </c>
      <c r="J18" s="5">
        <f>IF(I18="",F18*$B$2/$B$1,F18)</f>
        <v/>
      </c>
      <c r="K18" s="5">
        <f>IF(I18="",H18*$B$2/$B$1,H18)</f>
        <v/>
      </c>
      <c r="L18" s="5">
        <f>IF(I18="",F18*$B$4/$B$3,F18)</f>
        <v/>
      </c>
      <c r="M18" s="5">
        <f>IF(I18="",H18*$B$4/$B$3,H18)</f>
        <v/>
      </c>
      <c r="N18" s="5">
        <f>IF(I18="",G18*$B$4/$B$3,G18)</f>
        <v/>
      </c>
    </row>
    <row r="19">
      <c r="A19" t="n">
        <v>11</v>
      </c>
      <c r="B19" t="inlineStr">
        <is>
          <t>유로박솜캡셀</t>
        </is>
      </c>
      <c r="C19" t="inlineStr">
        <is>
          <t>654001440</t>
        </is>
      </c>
      <c r="D19" t="inlineStr">
        <is>
          <t>아주약품</t>
        </is>
      </c>
      <c r="E19" s="5" t="n">
        <v>706</v>
      </c>
      <c r="F19" s="5" t="n">
        <v>7932</v>
      </c>
      <c r="G19" s="5" t="n">
        <v>109</v>
      </c>
      <c r="H19" s="5" t="n">
        <v>5599992</v>
      </c>
      <c r="I19">
        <f>IF(G19&lt;=$B$5,"일회성(환산제외)","")</f>
        <v/>
      </c>
      <c r="J19" s="5">
        <f>IF(I19="",F19*$B$2/$B$1,F19)</f>
        <v/>
      </c>
      <c r="K19" s="5">
        <f>IF(I19="",H19*$B$2/$B$1,H19)</f>
        <v/>
      </c>
      <c r="L19" s="5">
        <f>IF(I19="",F19*$B$4/$B$3,F19)</f>
        <v/>
      </c>
      <c r="M19" s="5">
        <f>IF(I19="",H19*$B$4/$B$3,H19)</f>
        <v/>
      </c>
      <c r="N19" s="5">
        <f>IF(I19="",G19*$B$4/$B$3,G19)</f>
        <v/>
      </c>
    </row>
    <row r="20">
      <c r="A20" t="n">
        <v>12</v>
      </c>
      <c r="B20" t="inlineStr">
        <is>
          <t>이지산트정10/5밀리그램</t>
        </is>
      </c>
      <c r="C20" t="inlineStr">
        <is>
          <t>641906360</t>
        </is>
      </c>
      <c r="D20" t="inlineStr">
        <is>
          <t>(주)보령</t>
        </is>
      </c>
      <c r="E20" s="5" t="n">
        <v>761</v>
      </c>
      <c r="F20" s="5" t="n">
        <v>7133</v>
      </c>
      <c r="G20" s="5" t="n">
        <v>54</v>
      </c>
      <c r="H20" s="5" t="n">
        <v>5428213</v>
      </c>
      <c r="I20">
        <f>IF(G20&lt;=$B$5,"일회성(환산제외)","")</f>
        <v/>
      </c>
      <c r="J20" s="5">
        <f>IF(I20="",F20*$B$2/$B$1,F20)</f>
        <v/>
      </c>
      <c r="K20" s="5">
        <f>IF(I20="",H20*$B$2/$B$1,H20)</f>
        <v/>
      </c>
      <c r="L20" s="5">
        <f>IF(I20="",F20*$B$4/$B$3,F20)</f>
        <v/>
      </c>
      <c r="M20" s="5">
        <f>IF(I20="",H20*$B$4/$B$3,H20)</f>
        <v/>
      </c>
      <c r="N20" s="5">
        <f>IF(I20="",G20*$B$4/$B$3,G20)</f>
        <v/>
      </c>
    </row>
    <row r="21">
      <c r="A21" t="n">
        <v>13</v>
      </c>
      <c r="B21" t="inlineStr">
        <is>
          <t>엔트레스토필름코팅정50밀리그램</t>
        </is>
      </c>
      <c r="C21" t="inlineStr">
        <is>
          <t>653602720</t>
        </is>
      </c>
      <c r="D21" t="inlineStr">
        <is>
          <t>한국노바티스</t>
        </is>
      </c>
      <c r="E21" s="5" t="n">
        <v>1554</v>
      </c>
      <c r="F21" s="5" t="n">
        <v>3340.5</v>
      </c>
      <c r="G21" s="5" t="n">
        <v>35</v>
      </c>
      <c r="H21" s="5" t="n">
        <v>5191137</v>
      </c>
      <c r="I21">
        <f>IF(G21&lt;=$B$5,"일회성(환산제외)","")</f>
        <v/>
      </c>
      <c r="J21" s="5">
        <f>IF(I21="",F21*$B$2/$B$1,F21)</f>
        <v/>
      </c>
      <c r="K21" s="5">
        <f>IF(I21="",H21*$B$2/$B$1,H21)</f>
        <v/>
      </c>
      <c r="L21" s="5">
        <f>IF(I21="",F21*$B$4/$B$3,F21)</f>
        <v/>
      </c>
      <c r="M21" s="5">
        <f>IF(I21="",H21*$B$4/$B$3,H21)</f>
        <v/>
      </c>
      <c r="N21" s="5">
        <f>IF(I21="",G21*$B$4/$B$3,G21)</f>
        <v/>
      </c>
    </row>
    <row r="22">
      <c r="A22" t="n">
        <v>14</v>
      </c>
      <c r="B22" t="inlineStr">
        <is>
          <t>리피로우정20밀리그램</t>
        </is>
      </c>
      <c r="C22" t="inlineStr">
        <is>
          <t>643300660</t>
        </is>
      </c>
      <c r="D22" t="inlineStr">
        <is>
          <t>(주)종근당</t>
        </is>
      </c>
      <c r="E22" s="5" t="n">
        <v>707</v>
      </c>
      <c r="F22" s="5" t="n">
        <v>6896</v>
      </c>
      <c r="G22" s="5" t="n">
        <v>76</v>
      </c>
      <c r="H22" s="5" t="n">
        <v>4875472</v>
      </c>
      <c r="I22">
        <f>IF(G22&lt;=$B$5,"일회성(환산제외)","")</f>
        <v/>
      </c>
      <c r="J22" s="5">
        <f>IF(I22="",F22*$B$2/$B$1,F22)</f>
        <v/>
      </c>
      <c r="K22" s="5">
        <f>IF(I22="",H22*$B$2/$B$1,H22)</f>
        <v/>
      </c>
      <c r="L22" s="5">
        <f>IF(I22="",F22*$B$4/$B$3,F22)</f>
        <v/>
      </c>
      <c r="M22" s="5">
        <f>IF(I22="",H22*$B$4/$B$3,H22)</f>
        <v/>
      </c>
      <c r="N22" s="5">
        <f>IF(I22="",G22*$B$4/$B$3,G22)</f>
        <v/>
      </c>
    </row>
    <row r="23">
      <c r="A23" t="n">
        <v>15</v>
      </c>
      <c r="B23" t="inlineStr">
        <is>
          <t>엑시드캡슐150밀리그램</t>
        </is>
      </c>
      <c r="C23" t="inlineStr">
        <is>
          <t>641601910</t>
        </is>
      </c>
      <c r="D23" t="inlineStr">
        <is>
          <t>대웅제약</t>
        </is>
      </c>
      <c r="E23" s="5" t="n">
        <v>308</v>
      </c>
      <c r="F23" s="5" t="n">
        <v>15740</v>
      </c>
      <c r="G23" s="5" t="n">
        <v>159</v>
      </c>
      <c r="H23" s="5" t="n">
        <v>4847920</v>
      </c>
      <c r="I23">
        <f>IF(G23&lt;=$B$5,"일회성(환산제외)","")</f>
        <v/>
      </c>
      <c r="J23" s="5">
        <f>IF(I23="",F23*$B$2/$B$1,F23)</f>
        <v/>
      </c>
      <c r="K23" s="5">
        <f>IF(I23="",H23*$B$2/$B$1,H23)</f>
        <v/>
      </c>
      <c r="L23" s="5">
        <f>IF(I23="",F23*$B$4/$B$3,F23)</f>
        <v/>
      </c>
      <c r="M23" s="5">
        <f>IF(I23="",H23*$B$4/$B$3,H23)</f>
        <v/>
      </c>
      <c r="N23" s="5">
        <f>IF(I23="",G23*$B$4/$B$3,G23)</f>
        <v/>
      </c>
    </row>
    <row r="24">
      <c r="A24" t="n">
        <v>16</v>
      </c>
      <c r="B24" t="inlineStr">
        <is>
          <t>휴미라펜주40mg/0.4mL</t>
        </is>
      </c>
      <c r="C24" t="inlineStr">
        <is>
          <t>624900271</t>
        </is>
      </c>
      <c r="D24" t="inlineStr">
        <is>
          <t>한국애브비</t>
        </is>
      </c>
      <c r="E24" s="5" t="n">
        <v>284677</v>
      </c>
      <c r="F24" s="5" t="n">
        <v>17</v>
      </c>
      <c r="G24" s="5" t="n">
        <v>6</v>
      </c>
      <c r="H24" s="5" t="n">
        <v>4839509</v>
      </c>
      <c r="I24">
        <f>IF(G24&lt;=$B$5,"일회성(환산제외)","")</f>
        <v/>
      </c>
      <c r="J24" s="5">
        <f>IF(I24="",F24*$B$2/$B$1,F24)</f>
        <v/>
      </c>
      <c r="K24" s="5">
        <f>IF(I24="",H24*$B$2/$B$1,H24)</f>
        <v/>
      </c>
      <c r="L24" s="5">
        <f>IF(I24="",F24*$B$4/$B$3,F24)</f>
        <v/>
      </c>
      <c r="M24" s="5">
        <f>IF(I24="",H24*$B$4/$B$3,H24)</f>
        <v/>
      </c>
      <c r="N24" s="5">
        <f>IF(I24="",G24*$B$4/$B$3,G24)</f>
        <v/>
      </c>
    </row>
    <row r="25">
      <c r="A25" t="n">
        <v>17</v>
      </c>
      <c r="B25" t="inlineStr">
        <is>
          <t>구루치온정100mg</t>
        </is>
      </c>
      <c r="C25" t="inlineStr">
        <is>
          <t>2118202</t>
        </is>
      </c>
      <c r="D25" t="inlineStr">
        <is>
          <t>영풍제약</t>
        </is>
      </c>
      <c r="E25" s="5" t="n">
        <v>700</v>
      </c>
      <c r="F25" s="5" t="n">
        <v>6797</v>
      </c>
      <c r="G25" s="5" t="n">
        <v>36</v>
      </c>
      <c r="H25" s="5" t="n">
        <v>4757900</v>
      </c>
      <c r="I25">
        <f>IF(G25&lt;=$B$5,"일회성(환산제외)","")</f>
        <v/>
      </c>
      <c r="J25" s="5">
        <f>IF(I25="",F25*$B$2/$B$1,F25)</f>
        <v/>
      </c>
      <c r="K25" s="5">
        <f>IF(I25="",H25*$B$2/$B$1,H25)</f>
        <v/>
      </c>
      <c r="L25" s="5">
        <f>IF(I25="",F25*$B$4/$B$3,F25)</f>
        <v/>
      </c>
      <c r="M25" s="5">
        <f>IF(I25="",H25*$B$4/$B$3,H25)</f>
        <v/>
      </c>
      <c r="N25" s="5">
        <f>IF(I25="",G25*$B$4/$B$3,G25)</f>
        <v/>
      </c>
    </row>
    <row r="26">
      <c r="A26" t="n">
        <v>18</v>
      </c>
      <c r="B26" t="inlineStr">
        <is>
          <t>리피토정10밀리그램</t>
        </is>
      </c>
      <c r="C26" t="inlineStr">
        <is>
          <t>073400340</t>
        </is>
      </c>
      <c r="D26" t="inlineStr">
        <is>
          <t>비아트리스</t>
        </is>
      </c>
      <c r="E26" s="5" t="n">
        <v>638</v>
      </c>
      <c r="F26" s="5" t="n">
        <v>7292</v>
      </c>
      <c r="G26" s="5" t="n">
        <v>79</v>
      </c>
      <c r="H26" s="5" t="n">
        <v>4652296</v>
      </c>
      <c r="I26">
        <f>IF(G26&lt;=$B$5,"일회성(환산제외)","")</f>
        <v/>
      </c>
      <c r="J26" s="5">
        <f>IF(I26="",F26*$B$2/$B$1,F26)</f>
        <v/>
      </c>
      <c r="K26" s="5">
        <f>IF(I26="",H26*$B$2/$B$1,H26)</f>
        <v/>
      </c>
      <c r="L26" s="5">
        <f>IF(I26="",F26*$B$4/$B$3,F26)</f>
        <v/>
      </c>
      <c r="M26" s="5">
        <f>IF(I26="",H26*$B$4/$B$3,H26)</f>
        <v/>
      </c>
      <c r="N26" s="5">
        <f>IF(I26="",G26*$B$4/$B$3,G26)</f>
        <v/>
      </c>
    </row>
    <row r="27">
      <c r="A27" t="n">
        <v>19</v>
      </c>
      <c r="B27" t="inlineStr">
        <is>
          <t>베아셉트정5밀리그램</t>
        </is>
      </c>
      <c r="C27" t="inlineStr">
        <is>
          <t>694001110</t>
        </is>
      </c>
      <c r="D27" t="inlineStr">
        <is>
          <t>대웅바이오</t>
        </is>
      </c>
      <c r="E27" s="5" t="n">
        <v>1855</v>
      </c>
      <c r="F27" s="5" t="n">
        <v>2466</v>
      </c>
      <c r="G27" s="5" t="n">
        <v>52</v>
      </c>
      <c r="H27" s="5" t="n">
        <v>4574430</v>
      </c>
      <c r="I27">
        <f>IF(G27&lt;=$B$5,"일회성(환산제외)","")</f>
        <v/>
      </c>
      <c r="J27" s="5">
        <f>IF(I27="",F27*$B$2/$B$1,F27)</f>
        <v/>
      </c>
      <c r="K27" s="5">
        <f>IF(I27="",H27*$B$2/$B$1,H27)</f>
        <v/>
      </c>
      <c r="L27" s="5">
        <f>IF(I27="",F27*$B$4/$B$3,F27)</f>
        <v/>
      </c>
      <c r="M27" s="5">
        <f>IF(I27="",H27*$B$4/$B$3,H27)</f>
        <v/>
      </c>
      <c r="N27" s="5">
        <f>IF(I27="",G27*$B$4/$B$3,G27)</f>
        <v/>
      </c>
    </row>
    <row r="28">
      <c r="A28" t="n">
        <v>20</v>
      </c>
      <c r="B28" t="inlineStr">
        <is>
          <t>탐스피드캡슐</t>
        </is>
      </c>
      <c r="C28" t="inlineStr">
        <is>
          <t>647802310</t>
        </is>
      </c>
      <c r="D28" t="inlineStr">
        <is>
          <t>삼진제약</t>
        </is>
      </c>
      <c r="E28" s="5" t="n">
        <v>465</v>
      </c>
      <c r="F28" s="5" t="n">
        <v>9788</v>
      </c>
      <c r="G28" s="5" t="n">
        <v>131</v>
      </c>
      <c r="H28" s="5" t="n">
        <v>4551420</v>
      </c>
      <c r="I28">
        <f>IF(G28&lt;=$B$5,"일회성(환산제외)","")</f>
        <v/>
      </c>
      <c r="J28" s="5">
        <f>IF(I28="",F28*$B$2/$B$1,F28)</f>
        <v/>
      </c>
      <c r="K28" s="5">
        <f>IF(I28="",H28*$B$2/$B$1,H28)</f>
        <v/>
      </c>
      <c r="L28" s="5">
        <f>IF(I28="",F28*$B$4/$B$3,F28)</f>
        <v/>
      </c>
      <c r="M28" s="5">
        <f>IF(I28="",H28*$B$4/$B$3,H28)</f>
        <v/>
      </c>
      <c r="N28" s="5">
        <f>IF(I28="",G28*$B$4/$B$3,G28)</f>
        <v/>
      </c>
    </row>
    <row r="29">
      <c r="A29" t="n">
        <v>21</v>
      </c>
      <c r="B29" t="inlineStr">
        <is>
          <t>플라빅스정75밀리그램</t>
        </is>
      </c>
      <c r="C29" t="inlineStr">
        <is>
          <t>652101570</t>
        </is>
      </c>
      <c r="D29" t="inlineStr">
        <is>
          <t>(주)한독</t>
        </is>
      </c>
      <c r="E29" s="5" t="n">
        <v>1081</v>
      </c>
      <c r="F29" s="5" t="n">
        <v>4102</v>
      </c>
      <c r="G29" s="5" t="n">
        <v>42</v>
      </c>
      <c r="H29" s="5" t="n">
        <v>4434262</v>
      </c>
      <c r="I29">
        <f>IF(G29&lt;=$B$5,"일회성(환산제외)","")</f>
        <v/>
      </c>
      <c r="J29" s="5">
        <f>IF(I29="",F29*$B$2/$B$1,F29)</f>
        <v/>
      </c>
      <c r="K29" s="5">
        <f>IF(I29="",H29*$B$2/$B$1,H29)</f>
        <v/>
      </c>
      <c r="L29" s="5">
        <f>IF(I29="",F29*$B$4/$B$3,F29)</f>
        <v/>
      </c>
      <c r="M29" s="5">
        <f>IF(I29="",H29*$B$4/$B$3,H29)</f>
        <v/>
      </c>
      <c r="N29" s="5">
        <f>IF(I29="",G29*$B$4/$B$3,G29)</f>
        <v/>
      </c>
    </row>
    <row r="30">
      <c r="A30" t="n">
        <v>22</v>
      </c>
      <c r="B30" t="inlineStr">
        <is>
          <t>바이오탑하이포르테캡슐</t>
        </is>
      </c>
      <c r="C30" t="inlineStr">
        <is>
          <t>2120438</t>
        </is>
      </c>
      <c r="E30" s="5" t="n">
        <v>700</v>
      </c>
      <c r="F30" s="5" t="n">
        <v>6274</v>
      </c>
      <c r="G30" s="5" t="n">
        <v>90</v>
      </c>
      <c r="H30" s="5" t="n">
        <v>4391800</v>
      </c>
      <c r="I30">
        <f>IF(G30&lt;=$B$5,"일회성(환산제외)","")</f>
        <v/>
      </c>
      <c r="J30" s="5">
        <f>IF(I30="",F30*$B$2/$B$1,F30)</f>
        <v/>
      </c>
      <c r="K30" s="5">
        <f>IF(I30="",H30*$B$2/$B$1,H30)</f>
        <v/>
      </c>
      <c r="L30" s="5">
        <f>IF(I30="",F30*$B$4/$B$3,F30)</f>
        <v/>
      </c>
      <c r="M30" s="5">
        <f>IF(I30="",H30*$B$4/$B$3,H30)</f>
        <v/>
      </c>
      <c r="N30" s="5">
        <f>IF(I30="",G30*$B$4/$B$3,G30)</f>
        <v/>
      </c>
    </row>
    <row r="31">
      <c r="A31" t="n">
        <v>23</v>
      </c>
      <c r="B31" t="inlineStr">
        <is>
          <t>로수젯정10/20밀리그램</t>
        </is>
      </c>
      <c r="C31" t="inlineStr">
        <is>
          <t>643507270</t>
        </is>
      </c>
      <c r="D31" t="inlineStr">
        <is>
          <t>한미약품</t>
        </is>
      </c>
      <c r="E31" s="5" t="n">
        <v>1093</v>
      </c>
      <c r="F31" s="5" t="n">
        <v>3993</v>
      </c>
      <c r="G31" s="5" t="n">
        <v>44</v>
      </c>
      <c r="H31" s="5" t="n">
        <v>4367749</v>
      </c>
      <c r="I31">
        <f>IF(G31&lt;=$B$5,"일회성(환산제외)","")</f>
        <v/>
      </c>
      <c r="J31" s="5">
        <f>IF(I31="",F31*$B$2/$B$1,F31)</f>
        <v/>
      </c>
      <c r="K31" s="5">
        <f>IF(I31="",H31*$B$2/$B$1,H31)</f>
        <v/>
      </c>
      <c r="L31" s="5">
        <f>IF(I31="",F31*$B$4/$B$3,F31)</f>
        <v/>
      </c>
      <c r="M31" s="5">
        <f>IF(I31="",H31*$B$4/$B$3,H31)</f>
        <v/>
      </c>
      <c r="N31" s="5">
        <f>IF(I31="",G31*$B$4/$B$3,G31)</f>
        <v/>
      </c>
    </row>
    <row r="32">
      <c r="A32" t="n">
        <v>24</v>
      </c>
      <c r="B32" t="inlineStr">
        <is>
          <t>로수로드정10밀리그램</t>
        </is>
      </c>
      <c r="C32" t="inlineStr">
        <is>
          <t>643305080</t>
        </is>
      </c>
      <c r="D32" t="inlineStr">
        <is>
          <t>종근당</t>
        </is>
      </c>
      <c r="E32" s="5" t="n">
        <v>611</v>
      </c>
      <c r="F32" s="5" t="n">
        <v>7128</v>
      </c>
      <c r="G32" s="5" t="n">
        <v>62</v>
      </c>
      <c r="H32" s="5" t="n">
        <v>4355208</v>
      </c>
      <c r="I32">
        <f>IF(G32&lt;=$B$5,"일회성(환산제외)","")</f>
        <v/>
      </c>
      <c r="J32" s="5">
        <f>IF(I32="",F32*$B$2/$B$1,F32)</f>
        <v/>
      </c>
      <c r="K32" s="5">
        <f>IF(I32="",H32*$B$2/$B$1,H32)</f>
        <v/>
      </c>
      <c r="L32" s="5">
        <f>IF(I32="",F32*$B$4/$B$3,F32)</f>
        <v/>
      </c>
      <c r="M32" s="5">
        <f>IF(I32="",H32*$B$4/$B$3,H32)</f>
        <v/>
      </c>
      <c r="N32" s="5">
        <f>IF(I32="",G32*$B$4/$B$3,G32)</f>
        <v/>
      </c>
    </row>
    <row r="33">
      <c r="A33" t="n">
        <v>25</v>
      </c>
      <c r="B33" t="inlineStr">
        <is>
          <t>펜넬캡슐</t>
        </is>
      </c>
      <c r="C33" t="inlineStr">
        <is>
          <t>652300700</t>
        </is>
      </c>
      <c r="D33" t="inlineStr">
        <is>
          <t>파마킹</t>
        </is>
      </c>
      <c r="E33" s="5" t="n">
        <v>312</v>
      </c>
      <c r="F33" s="5" t="n">
        <v>13648</v>
      </c>
      <c r="G33" s="5" t="n">
        <v>48</v>
      </c>
      <c r="H33" s="5" t="n">
        <v>4258176</v>
      </c>
      <c r="I33">
        <f>IF(G33&lt;=$B$5,"일회성(환산제외)","")</f>
        <v/>
      </c>
      <c r="J33" s="5">
        <f>IF(I33="",F33*$B$2/$B$1,F33)</f>
        <v/>
      </c>
      <c r="K33" s="5">
        <f>IF(I33="",H33*$B$2/$B$1,H33)</f>
        <v/>
      </c>
      <c r="L33" s="5">
        <f>IF(I33="",F33*$B$4/$B$3,F33)</f>
        <v/>
      </c>
      <c r="M33" s="5">
        <f>IF(I33="",H33*$B$4/$B$3,H33)</f>
        <v/>
      </c>
      <c r="N33" s="5">
        <f>IF(I33="",G33*$B$4/$B$3,G33)</f>
        <v/>
      </c>
    </row>
    <row r="34">
      <c r="A34" t="n">
        <v>26</v>
      </c>
      <c r="B34" t="inlineStr">
        <is>
          <t>유리토스정</t>
        </is>
      </c>
      <c r="C34" t="inlineStr">
        <is>
          <t>668901520</t>
        </is>
      </c>
      <c r="D34" t="inlineStr">
        <is>
          <t>(주)엘지화학</t>
        </is>
      </c>
      <c r="E34" s="5" t="n">
        <v>391</v>
      </c>
      <c r="F34" s="5" t="n">
        <v>10576</v>
      </c>
      <c r="G34" s="5" t="n">
        <v>68</v>
      </c>
      <c r="H34" s="5" t="n">
        <v>4135216</v>
      </c>
      <c r="I34">
        <f>IF(G34&lt;=$B$5,"일회성(환산제외)","")</f>
        <v/>
      </c>
      <c r="J34" s="5">
        <f>IF(I34="",F34*$B$2/$B$1,F34)</f>
        <v/>
      </c>
      <c r="K34" s="5">
        <f>IF(I34="",H34*$B$2/$B$1,H34)</f>
        <v/>
      </c>
      <c r="L34" s="5">
        <f>IF(I34="",F34*$B$4/$B$3,F34)</f>
        <v/>
      </c>
      <c r="M34" s="5">
        <f>IF(I34="",H34*$B$4/$B$3,H34)</f>
        <v/>
      </c>
      <c r="N34" s="5">
        <f>IF(I34="",G34*$B$4/$B$3,G34)</f>
        <v/>
      </c>
    </row>
    <row r="35">
      <c r="A35" t="n">
        <v>27</v>
      </c>
      <c r="B35" t="inlineStr">
        <is>
          <t>자큐보정20밀리그램</t>
        </is>
      </c>
      <c r="C35" t="inlineStr">
        <is>
          <t>078600010</t>
        </is>
      </c>
      <c r="D35" t="inlineStr">
        <is>
          <t>온코닉테라퓨틱스</t>
        </is>
      </c>
      <c r="E35" s="5" t="n">
        <v>911</v>
      </c>
      <c r="F35" s="5" t="n">
        <v>4533</v>
      </c>
      <c r="G35" s="5" t="n">
        <v>85</v>
      </c>
      <c r="H35" s="5" t="n">
        <v>4129563</v>
      </c>
      <c r="I35">
        <f>IF(G35&lt;=$B$5,"일회성(환산제외)","")</f>
        <v/>
      </c>
      <c r="J35" s="5">
        <f>IF(I35="",F35*$B$2/$B$1,F35)</f>
        <v/>
      </c>
      <c r="K35" s="5">
        <f>IF(I35="",H35*$B$2/$B$1,H35)</f>
        <v/>
      </c>
      <c r="L35" s="5">
        <f>IF(I35="",F35*$B$4/$B$3,F35)</f>
        <v/>
      </c>
      <c r="M35" s="5">
        <f>IF(I35="",H35*$B$4/$B$3,H35)</f>
        <v/>
      </c>
      <c r="N35" s="5">
        <f>IF(I35="",G35*$B$4/$B$3,G35)</f>
        <v/>
      </c>
    </row>
    <row r="36">
      <c r="A36" t="n">
        <v>28</v>
      </c>
      <c r="B36" t="inlineStr">
        <is>
          <t>글리아타민정</t>
        </is>
      </c>
      <c r="C36" t="inlineStr">
        <is>
          <t>694000670</t>
        </is>
      </c>
      <c r="D36" t="inlineStr">
        <is>
          <t>대웅바이오</t>
        </is>
      </c>
      <c r="E36" s="5" t="n">
        <v>476</v>
      </c>
      <c r="F36" s="5" t="n">
        <v>8537</v>
      </c>
      <c r="G36" s="5" t="n">
        <v>66</v>
      </c>
      <c r="H36" s="5" t="n">
        <v>4063612</v>
      </c>
      <c r="I36">
        <f>IF(G36&lt;=$B$5,"일회성(환산제외)","")</f>
        <v/>
      </c>
      <c r="J36" s="5">
        <f>IF(I36="",F36*$B$2/$B$1,F36)</f>
        <v/>
      </c>
      <c r="K36" s="5">
        <f>IF(I36="",H36*$B$2/$B$1,H36)</f>
        <v/>
      </c>
      <c r="L36" s="5">
        <f>IF(I36="",F36*$B$4/$B$3,F36)</f>
        <v/>
      </c>
      <c r="M36" s="5">
        <f>IF(I36="",H36*$B$4/$B$3,H36)</f>
        <v/>
      </c>
      <c r="N36" s="5">
        <f>IF(I36="",G36*$B$4/$B$3,G36)</f>
        <v/>
      </c>
    </row>
    <row r="37">
      <c r="A37" t="n">
        <v>29</v>
      </c>
      <c r="B37" t="inlineStr">
        <is>
          <t>보령피나스테리드정5밀리그램</t>
        </is>
      </c>
      <c r="C37" t="inlineStr">
        <is>
          <t>641902100</t>
        </is>
      </c>
      <c r="D37" t="inlineStr">
        <is>
          <t>(주)보령</t>
        </is>
      </c>
      <c r="E37" s="5" t="n">
        <v>622</v>
      </c>
      <c r="F37" s="5" t="n">
        <v>6384</v>
      </c>
      <c r="G37" s="5" t="n">
        <v>75</v>
      </c>
      <c r="H37" s="5" t="n">
        <v>3970848</v>
      </c>
      <c r="I37">
        <f>IF(G37&lt;=$B$5,"일회성(환산제외)","")</f>
        <v/>
      </c>
      <c r="J37" s="5">
        <f>IF(I37="",F37*$B$2/$B$1,F37)</f>
        <v/>
      </c>
      <c r="K37" s="5">
        <f>IF(I37="",H37*$B$2/$B$1,H37)</f>
        <v/>
      </c>
      <c r="L37" s="5">
        <f>IF(I37="",F37*$B$4/$B$3,F37)</f>
        <v/>
      </c>
      <c r="M37" s="5">
        <f>IF(I37="",H37*$B$4/$B$3,H37)</f>
        <v/>
      </c>
      <c r="N37" s="5">
        <f>IF(I37="",G37*$B$4/$B$3,G37)</f>
        <v/>
      </c>
    </row>
    <row r="38">
      <c r="A38" t="n">
        <v>30</v>
      </c>
      <c r="B38" t="inlineStr">
        <is>
          <t>타그리소정80밀리그램</t>
        </is>
      </c>
      <c r="C38" t="inlineStr">
        <is>
          <t>650700980</t>
        </is>
      </c>
      <c r="D38" t="inlineStr">
        <is>
          <t>한국아스트라제네카</t>
        </is>
      </c>
      <c r="E38" s="5" t="n">
        <v>190108</v>
      </c>
      <c r="F38" s="5" t="n">
        <v>28</v>
      </c>
      <c r="G38" s="5" t="n">
        <v>1</v>
      </c>
      <c r="H38" s="5" t="n">
        <v>5323024</v>
      </c>
      <c r="I38">
        <f>IF(G38&lt;=$B$5,"일회성(환산제외)","")</f>
        <v/>
      </c>
      <c r="J38" s="5">
        <f>IF(I38="",F38*$B$2/$B$1,F38)</f>
        <v/>
      </c>
      <c r="K38" s="5">
        <f>IF(I38="",H38*$B$2/$B$1,H38)</f>
        <v/>
      </c>
      <c r="L38" s="5">
        <f>IF(I38="",F38*$B$4/$B$3,F38)</f>
        <v/>
      </c>
      <c r="M38" s="5">
        <f>IF(I38="",H38*$B$4/$B$3,H38)</f>
        <v/>
      </c>
      <c r="N38" s="5">
        <f>IF(I38="",G38*$B$4/$B$3,G38)</f>
        <v/>
      </c>
    </row>
    <row r="39">
      <c r="A39" t="n">
        <v>31</v>
      </c>
      <c r="B39" t="inlineStr">
        <is>
          <t>투톤네블정</t>
        </is>
      </c>
      <c r="C39" t="inlineStr">
        <is>
          <t>671806950</t>
        </is>
      </c>
      <c r="D39" t="inlineStr">
        <is>
          <t>대원제약</t>
        </is>
      </c>
      <c r="E39" s="5" t="n">
        <v>162</v>
      </c>
      <c r="F39" s="5" t="n">
        <v>23554</v>
      </c>
      <c r="G39" s="5" t="n">
        <v>102</v>
      </c>
      <c r="H39" s="5" t="n">
        <v>3815748</v>
      </c>
      <c r="I39">
        <f>IF(G39&lt;=$B$5,"일회성(환산제외)","")</f>
        <v/>
      </c>
      <c r="J39" s="5">
        <f>IF(I39="",F39*$B$2/$B$1,F39)</f>
        <v/>
      </c>
      <c r="K39" s="5">
        <f>IF(I39="",H39*$B$2/$B$1,H39)</f>
        <v/>
      </c>
      <c r="L39" s="5">
        <f>IF(I39="",F39*$B$4/$B$3,F39)</f>
        <v/>
      </c>
      <c r="M39" s="5">
        <f>IF(I39="",H39*$B$4/$B$3,H39)</f>
        <v/>
      </c>
      <c r="N39" s="5">
        <f>IF(I39="",G39*$B$4/$B$3,G39)</f>
        <v/>
      </c>
    </row>
    <row r="40">
      <c r="A40" t="n">
        <v>32</v>
      </c>
      <c r="B40" t="inlineStr">
        <is>
          <t>로수젯정10/10밀리그램</t>
        </is>
      </c>
      <c r="C40" t="inlineStr">
        <is>
          <t>643507260</t>
        </is>
      </c>
      <c r="D40" t="inlineStr">
        <is>
          <t>한미약품</t>
        </is>
      </c>
      <c r="E40" s="5" t="n">
        <v>1087</v>
      </c>
      <c r="F40" s="5" t="n">
        <v>3457</v>
      </c>
      <c r="G40" s="5" t="n">
        <v>34</v>
      </c>
      <c r="H40" s="5" t="n">
        <v>3757759</v>
      </c>
      <c r="I40">
        <f>IF(G40&lt;=$B$5,"일회성(환산제외)","")</f>
        <v/>
      </c>
      <c r="J40" s="5">
        <f>IF(I40="",F40*$B$2/$B$1,F40)</f>
        <v/>
      </c>
      <c r="K40" s="5">
        <f>IF(I40="",H40*$B$2/$B$1,H40)</f>
        <v/>
      </c>
      <c r="L40" s="5">
        <f>IF(I40="",F40*$B$4/$B$3,F40)</f>
        <v/>
      </c>
      <c r="M40" s="5">
        <f>IF(I40="",H40*$B$4/$B$3,H40)</f>
        <v/>
      </c>
      <c r="N40" s="5">
        <f>IF(I40="",G40*$B$4/$B$3,G40)</f>
        <v/>
      </c>
    </row>
    <row r="41">
      <c r="A41" t="n">
        <v>33</v>
      </c>
      <c r="B41" t="inlineStr">
        <is>
          <t>케프라정500밀리그램</t>
        </is>
      </c>
      <c r="C41" t="inlineStr">
        <is>
          <t>654100150</t>
        </is>
      </c>
      <c r="D41" t="inlineStr">
        <is>
          <t>한국유씨비</t>
        </is>
      </c>
      <c r="E41" s="5" t="n">
        <v>693</v>
      </c>
      <c r="F41" s="5" t="n">
        <v>5420.5</v>
      </c>
      <c r="G41" s="5" t="n">
        <v>38</v>
      </c>
      <c r="H41" s="5" t="n">
        <v>3756407</v>
      </c>
      <c r="I41">
        <f>IF(G41&lt;=$B$5,"일회성(환산제외)","")</f>
        <v/>
      </c>
      <c r="J41" s="5">
        <f>IF(I41="",F41*$B$2/$B$1,F41)</f>
        <v/>
      </c>
      <c r="K41" s="5">
        <f>IF(I41="",H41*$B$2/$B$1,H41)</f>
        <v/>
      </c>
      <c r="L41" s="5">
        <f>IF(I41="",F41*$B$4/$B$3,F41)</f>
        <v/>
      </c>
      <c r="M41" s="5">
        <f>IF(I41="",H41*$B$4/$B$3,H41)</f>
        <v/>
      </c>
      <c r="N41" s="5">
        <f>IF(I41="",G41*$B$4/$B$3,G41)</f>
        <v/>
      </c>
    </row>
    <row r="42">
      <c r="A42" t="n">
        <v>34</v>
      </c>
      <c r="B42" t="inlineStr">
        <is>
          <t>리바로젯정2/10밀리그램</t>
        </is>
      </c>
      <c r="C42" t="inlineStr">
        <is>
          <t>644914960</t>
        </is>
      </c>
      <c r="D42" t="inlineStr">
        <is>
          <t>제이더블유중외</t>
        </is>
      </c>
      <c r="E42" s="5" t="n">
        <v>1307</v>
      </c>
      <c r="F42" s="5" t="n">
        <v>2809</v>
      </c>
      <c r="G42" s="5" t="n">
        <v>29</v>
      </c>
      <c r="H42" s="5" t="n">
        <v>3671363</v>
      </c>
      <c r="I42">
        <f>IF(G42&lt;=$B$5,"일회성(환산제외)","")</f>
        <v/>
      </c>
      <c r="J42" s="5">
        <f>IF(I42="",F42*$B$2/$B$1,F42)</f>
        <v/>
      </c>
      <c r="K42" s="5">
        <f>IF(I42="",H42*$B$2/$B$1,H42)</f>
        <v/>
      </c>
      <c r="L42" s="5">
        <f>IF(I42="",F42*$B$4/$B$3,F42)</f>
        <v/>
      </c>
      <c r="M42" s="5">
        <f>IF(I42="",H42*$B$4/$B$3,H42)</f>
        <v/>
      </c>
      <c r="N42" s="5">
        <f>IF(I42="",G42*$B$4/$B$3,G42)</f>
        <v/>
      </c>
    </row>
    <row r="43">
      <c r="A43" t="n">
        <v>35</v>
      </c>
      <c r="B43" t="inlineStr">
        <is>
          <t>릭시아나정30밀리그램</t>
        </is>
      </c>
      <c r="C43" t="inlineStr">
        <is>
          <t>680900180</t>
        </is>
      </c>
      <c r="D43" t="inlineStr">
        <is>
          <t>한국다이이찌산쿄</t>
        </is>
      </c>
      <c r="E43" s="5" t="n">
        <v>2032</v>
      </c>
      <c r="F43" s="5" t="n">
        <v>1745</v>
      </c>
      <c r="G43" s="5" t="n">
        <v>16</v>
      </c>
      <c r="H43" s="5" t="n">
        <v>3545840</v>
      </c>
      <c r="I43">
        <f>IF(G43&lt;=$B$5,"일회성(환산제외)","")</f>
        <v/>
      </c>
      <c r="J43" s="5">
        <f>IF(I43="",F43*$B$2/$B$1,F43)</f>
        <v/>
      </c>
      <c r="K43" s="5">
        <f>IF(I43="",H43*$B$2/$B$1,H43)</f>
        <v/>
      </c>
      <c r="L43" s="5">
        <f>IF(I43="",F43*$B$4/$B$3,F43)</f>
        <v/>
      </c>
      <c r="M43" s="5">
        <f>IF(I43="",H43*$B$4/$B$3,H43)</f>
        <v/>
      </c>
      <c r="N43" s="5">
        <f>IF(I43="",G43*$B$4/$B$3,G43)</f>
        <v/>
      </c>
    </row>
    <row r="44">
      <c r="A44" t="n">
        <v>36</v>
      </c>
      <c r="B44" t="inlineStr">
        <is>
          <t>펙수클루정40밀리그램</t>
        </is>
      </c>
      <c r="C44" t="inlineStr">
        <is>
          <t>641607630</t>
        </is>
      </c>
      <c r="D44" t="inlineStr">
        <is>
          <t>(주)대웅제약</t>
        </is>
      </c>
      <c r="E44" s="5" t="n">
        <v>901</v>
      </c>
      <c r="F44" s="5" t="n">
        <v>3931</v>
      </c>
      <c r="G44" s="5" t="n">
        <v>50</v>
      </c>
      <c r="H44" s="5" t="n">
        <v>3541831</v>
      </c>
      <c r="I44">
        <f>IF(G44&lt;=$B$5,"일회성(환산제외)","")</f>
        <v/>
      </c>
      <c r="J44" s="5">
        <f>IF(I44="",F44*$B$2/$B$1,F44)</f>
        <v/>
      </c>
      <c r="K44" s="5">
        <f>IF(I44="",H44*$B$2/$B$1,H44)</f>
        <v/>
      </c>
      <c r="L44" s="5">
        <f>IF(I44="",F44*$B$4/$B$3,F44)</f>
        <v/>
      </c>
      <c r="M44" s="5">
        <f>IF(I44="",H44*$B$4/$B$3,H44)</f>
        <v/>
      </c>
      <c r="N44" s="5">
        <f>IF(I44="",G44*$B$4/$B$3,G44)</f>
        <v/>
      </c>
    </row>
    <row r="45">
      <c r="A45" t="n">
        <v>37</v>
      </c>
      <c r="B45" t="inlineStr">
        <is>
          <t>이지산트정10/20밀리그램</t>
        </is>
      </c>
      <c r="C45" t="inlineStr">
        <is>
          <t>641906340</t>
        </is>
      </c>
      <c r="D45" t="inlineStr">
        <is>
          <t>(주)보령</t>
        </is>
      </c>
      <c r="E45" s="5" t="n">
        <v>1074</v>
      </c>
      <c r="F45" s="5" t="n">
        <v>3189</v>
      </c>
      <c r="G45" s="5" t="n">
        <v>28</v>
      </c>
      <c r="H45" s="5" t="n">
        <v>3424986</v>
      </c>
      <c r="I45">
        <f>IF(G45&lt;=$B$5,"일회성(환산제외)","")</f>
        <v/>
      </c>
      <c r="J45" s="5">
        <f>IF(I45="",F45*$B$2/$B$1,F45)</f>
        <v/>
      </c>
      <c r="K45" s="5">
        <f>IF(I45="",H45*$B$2/$B$1,H45)</f>
        <v/>
      </c>
      <c r="L45" s="5">
        <f>IF(I45="",F45*$B$4/$B$3,F45)</f>
        <v/>
      </c>
      <c r="M45" s="5">
        <f>IF(I45="",H45*$B$4/$B$3,H45)</f>
        <v/>
      </c>
      <c r="N45" s="5">
        <f>IF(I45="",G45*$B$4/$B$3,G45)</f>
        <v/>
      </c>
    </row>
    <row r="46">
      <c r="A46" t="n">
        <v>38</v>
      </c>
      <c r="B46" t="inlineStr">
        <is>
          <t>딜라트렌에스알캡슐16밀리그램</t>
        </is>
      </c>
      <c r="C46" t="inlineStr">
        <is>
          <t>643306410</t>
        </is>
      </c>
      <c r="D46" t="inlineStr">
        <is>
          <t>(주)종근당</t>
        </is>
      </c>
      <c r="E46" s="5" t="n">
        <v>543</v>
      </c>
      <c r="F46" s="5" t="n">
        <v>6108</v>
      </c>
      <c r="G46" s="5" t="n">
        <v>65</v>
      </c>
      <c r="H46" s="5" t="n">
        <v>3316684</v>
      </c>
      <c r="I46">
        <f>IF(G46&lt;=$B$5,"일회성(환산제외)","")</f>
        <v/>
      </c>
      <c r="J46" s="5">
        <f>IF(I46="",F46*$B$2/$B$1,F46)</f>
        <v/>
      </c>
      <c r="K46" s="5">
        <f>IF(I46="",H46*$B$2/$B$1,H46)</f>
        <v/>
      </c>
      <c r="L46" s="5">
        <f>IF(I46="",F46*$B$4/$B$3,F46)</f>
        <v/>
      </c>
      <c r="M46" s="5">
        <f>IF(I46="",H46*$B$4/$B$3,H46)</f>
        <v/>
      </c>
      <c r="N46" s="5">
        <f>IF(I46="",G46*$B$4/$B$3,G46)</f>
        <v/>
      </c>
    </row>
    <row r="47">
      <c r="A47" t="n">
        <v>39</v>
      </c>
      <c r="B47" t="inlineStr">
        <is>
          <t>프로피나정</t>
        </is>
      </c>
      <c r="C47" t="inlineStr">
        <is>
          <t>648504140</t>
        </is>
      </c>
      <c r="D47" t="inlineStr">
        <is>
          <t>신풍제약</t>
        </is>
      </c>
      <c r="E47" s="5" t="n">
        <v>728</v>
      </c>
      <c r="F47" s="5" t="n">
        <v>4520</v>
      </c>
      <c r="G47" s="5" t="n">
        <v>55</v>
      </c>
      <c r="H47" s="5" t="n">
        <v>3290560</v>
      </c>
      <c r="I47">
        <f>IF(G47&lt;=$B$5,"일회성(환산제외)","")</f>
        <v/>
      </c>
      <c r="J47" s="5">
        <f>IF(I47="",F47*$B$2/$B$1,F47)</f>
        <v/>
      </c>
      <c r="K47" s="5">
        <f>IF(I47="",H47*$B$2/$B$1,H47)</f>
        <v/>
      </c>
      <c r="L47" s="5">
        <f>IF(I47="",F47*$B$4/$B$3,F47)</f>
        <v/>
      </c>
      <c r="M47" s="5">
        <f>IF(I47="",H47*$B$4/$B$3,H47)</f>
        <v/>
      </c>
      <c r="N47" s="5">
        <f>IF(I47="",G47*$B$4/$B$3,G47)</f>
        <v/>
      </c>
    </row>
    <row r="48">
      <c r="A48" t="n">
        <v>40</v>
      </c>
      <c r="B48" t="inlineStr">
        <is>
          <t>놀텍정10밀리그램</t>
        </is>
      </c>
      <c r="C48" t="inlineStr">
        <is>
          <t>641702920</t>
        </is>
      </c>
      <c r="D48" t="inlineStr">
        <is>
          <t>일양약품</t>
        </is>
      </c>
      <c r="E48" s="5" t="n">
        <v>1071</v>
      </c>
      <c r="F48" s="5" t="n">
        <v>3072</v>
      </c>
      <c r="G48" s="5" t="n">
        <v>58</v>
      </c>
      <c r="H48" s="5" t="n">
        <v>3290112</v>
      </c>
      <c r="I48">
        <f>IF(G48&lt;=$B$5,"일회성(환산제외)","")</f>
        <v/>
      </c>
      <c r="J48" s="5">
        <f>IF(I48="",F48*$B$2/$B$1,F48)</f>
        <v/>
      </c>
      <c r="K48" s="5">
        <f>IF(I48="",H48*$B$2/$B$1,H48)</f>
        <v/>
      </c>
      <c r="L48" s="5">
        <f>IF(I48="",F48*$B$4/$B$3,F48)</f>
        <v/>
      </c>
      <c r="M48" s="5">
        <f>IF(I48="",H48*$B$4/$B$3,H48)</f>
        <v/>
      </c>
      <c r="N48" s="5">
        <f>IF(I48="",G48*$B$4/$B$3,G48)</f>
        <v/>
      </c>
    </row>
    <row r="49">
      <c r="A49" t="n">
        <v>41</v>
      </c>
      <c r="B49" t="inlineStr">
        <is>
          <t>뉴스타틴알정10밀리그램</t>
        </is>
      </c>
      <c r="C49" t="inlineStr">
        <is>
          <t>647803940</t>
        </is>
      </c>
      <c r="D49" t="inlineStr">
        <is>
          <t>삼진제약</t>
        </is>
      </c>
      <c r="E49" s="5" t="n">
        <v>585</v>
      </c>
      <c r="F49" s="5" t="n">
        <v>5427</v>
      </c>
      <c r="G49" s="5" t="n">
        <v>56</v>
      </c>
      <c r="H49" s="5" t="n">
        <v>3175089</v>
      </c>
      <c r="I49">
        <f>IF(G49&lt;=$B$5,"일회성(환산제외)","")</f>
        <v/>
      </c>
      <c r="J49" s="5">
        <f>IF(I49="",F49*$B$2/$B$1,F49)</f>
        <v/>
      </c>
      <c r="K49" s="5">
        <f>IF(I49="",H49*$B$2/$B$1,H49)</f>
        <v/>
      </c>
      <c r="L49" s="5">
        <f>IF(I49="",F49*$B$4/$B$3,F49)</f>
        <v/>
      </c>
      <c r="M49" s="5">
        <f>IF(I49="",H49*$B$4/$B$3,H49)</f>
        <v/>
      </c>
      <c r="N49" s="5">
        <f>IF(I49="",G49*$B$4/$B$3,G49)</f>
        <v/>
      </c>
    </row>
    <row r="50">
      <c r="A50" t="n">
        <v>42</v>
      </c>
      <c r="B50" t="inlineStr">
        <is>
          <t>베아셉트정10밀리그램</t>
        </is>
      </c>
      <c r="C50" t="inlineStr">
        <is>
          <t>694001100</t>
        </is>
      </c>
      <c r="D50" t="inlineStr">
        <is>
          <t>대웅바이오</t>
        </is>
      </c>
      <c r="E50" s="5" t="n">
        <v>2213</v>
      </c>
      <c r="F50" s="5" t="n">
        <v>1427</v>
      </c>
      <c r="G50" s="5" t="n">
        <v>24</v>
      </c>
      <c r="H50" s="5" t="n">
        <v>3157951</v>
      </c>
      <c r="I50">
        <f>IF(G50&lt;=$B$5,"일회성(환산제외)","")</f>
        <v/>
      </c>
      <c r="J50" s="5">
        <f>IF(I50="",F50*$B$2/$B$1,F50)</f>
        <v/>
      </c>
      <c r="K50" s="5">
        <f>IF(I50="",H50*$B$2/$B$1,H50)</f>
        <v/>
      </c>
      <c r="L50" s="5">
        <f>IF(I50="",F50*$B$4/$B$3,F50)</f>
        <v/>
      </c>
      <c r="M50" s="5">
        <f>IF(I50="",H50*$B$4/$B$3,H50)</f>
        <v/>
      </c>
      <c r="N50" s="5">
        <f>IF(I50="",G50*$B$4/$B$3,G50)</f>
        <v/>
      </c>
    </row>
    <row r="51">
      <c r="A51" t="n">
        <v>43</v>
      </c>
      <c r="B51" t="inlineStr">
        <is>
          <t>시너지아정500mg</t>
        </is>
      </c>
      <c r="C51" t="inlineStr">
        <is>
          <t>2120857</t>
        </is>
      </c>
      <c r="E51" s="5" t="n">
        <v>1260</v>
      </c>
      <c r="F51" s="5" t="n">
        <v>2441</v>
      </c>
      <c r="G51" s="5" t="n">
        <v>45</v>
      </c>
      <c r="H51" s="5" t="n">
        <v>3075660</v>
      </c>
      <c r="I51">
        <f>IF(G51&lt;=$B$5,"일회성(환산제외)","")</f>
        <v/>
      </c>
      <c r="J51" s="5">
        <f>IF(I51="",F51*$B$2/$B$1,F51)</f>
        <v/>
      </c>
      <c r="K51" s="5">
        <f>IF(I51="",H51*$B$2/$B$1,H51)</f>
        <v/>
      </c>
      <c r="L51" s="5">
        <f>IF(I51="",F51*$B$4/$B$3,F51)</f>
        <v/>
      </c>
      <c r="M51" s="5">
        <f>IF(I51="",H51*$B$4/$B$3,H51)</f>
        <v/>
      </c>
      <c r="N51" s="5">
        <f>IF(I51="",G51*$B$4/$B$3,G51)</f>
        <v/>
      </c>
    </row>
    <row r="52">
      <c r="A52" t="n">
        <v>44</v>
      </c>
      <c r="B52" t="inlineStr">
        <is>
          <t>리피로우정10밀리그램</t>
        </is>
      </c>
      <c r="C52" t="inlineStr">
        <is>
          <t>643304610</t>
        </is>
      </c>
      <c r="D52" t="inlineStr">
        <is>
          <t>(주)종근당</t>
        </is>
      </c>
      <c r="E52" s="5" t="n">
        <v>658</v>
      </c>
      <c r="F52" s="5" t="n">
        <v>4599</v>
      </c>
      <c r="G52" s="5" t="n">
        <v>57</v>
      </c>
      <c r="H52" s="5" t="n">
        <v>3026142</v>
      </c>
      <c r="I52">
        <f>IF(G52&lt;=$B$5,"일회성(환산제외)","")</f>
        <v/>
      </c>
      <c r="J52" s="5">
        <f>IF(I52="",F52*$B$2/$B$1,F52)</f>
        <v/>
      </c>
      <c r="K52" s="5">
        <f>IF(I52="",H52*$B$2/$B$1,H52)</f>
        <v/>
      </c>
      <c r="L52" s="5">
        <f>IF(I52="",F52*$B$4/$B$3,F52)</f>
        <v/>
      </c>
      <c r="M52" s="5">
        <f>IF(I52="",H52*$B$4/$B$3,H52)</f>
        <v/>
      </c>
      <c r="N52" s="5">
        <f>IF(I52="",G52*$B$4/$B$3,G52)</f>
        <v/>
      </c>
    </row>
    <row r="53">
      <c r="A53" t="n">
        <v>45</v>
      </c>
      <c r="B53" t="inlineStr">
        <is>
          <t>비판티정2mg</t>
        </is>
      </c>
      <c r="C53" t="inlineStr">
        <is>
          <t>648501460</t>
        </is>
      </c>
      <c r="D53" t="inlineStr">
        <is>
          <t>신풍제약</t>
        </is>
      </c>
      <c r="E53" s="5" t="n">
        <v>355</v>
      </c>
      <c r="F53" s="5" t="n">
        <v>8158</v>
      </c>
      <c r="G53" s="5" t="n">
        <v>65</v>
      </c>
      <c r="H53" s="5" t="n">
        <v>2896090</v>
      </c>
      <c r="I53">
        <f>IF(G53&lt;=$B$5,"일회성(환산제외)","")</f>
        <v/>
      </c>
      <c r="J53" s="5">
        <f>IF(I53="",F53*$B$2/$B$1,F53)</f>
        <v/>
      </c>
      <c r="K53" s="5">
        <f>IF(I53="",H53*$B$2/$B$1,H53)</f>
        <v/>
      </c>
      <c r="L53" s="5">
        <f>IF(I53="",F53*$B$4/$B$3,F53)</f>
        <v/>
      </c>
      <c r="M53" s="5">
        <f>IF(I53="",H53*$B$4/$B$3,H53)</f>
        <v/>
      </c>
      <c r="N53" s="5">
        <f>IF(I53="",G53*$B$4/$B$3,G53)</f>
        <v/>
      </c>
    </row>
  </sheetData>
  <autoFilter ref="A8:N5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6" customWidth="1" min="2" max="2"/>
    <col width="34" customWidth="1" min="3" max="3"/>
    <col width="12" customWidth="1" min="4" max="4"/>
    <col width="20" customWidth="1" min="5" max="5"/>
    <col width="9" customWidth="1" min="6" max="6"/>
    <col width="10" customWidth="1" min="7" max="7"/>
    <col width="12" customWidth="1" min="8" max="8"/>
    <col width="9" customWidth="1" min="9" max="9"/>
    <col width="13" customWidth="1" min="10" max="10"/>
    <col width="12" customWidth="1" min="11" max="11"/>
    <col width="12" customWidth="1" min="12" max="12"/>
    <col width="10" customWidth="1" min="13" max="13"/>
    <col width="12" customWidth="1" min="14" max="14"/>
    <col width="9" customWidth="1" min="15" max="15"/>
    <col width="14" customWidth="1" min="16" max="16"/>
  </cols>
  <sheetData>
    <row r="1">
      <c r="A1" s="1" t="inlineStr">
        <is>
          <t>순위</t>
        </is>
      </c>
      <c r="B1" s="1" t="inlineStr">
        <is>
          <t>급여</t>
        </is>
      </c>
      <c r="C1" s="1" t="inlineStr">
        <is>
          <t>약품명</t>
        </is>
      </c>
      <c r="D1" s="1" t="inlineStr">
        <is>
          <t>약품코드</t>
        </is>
      </c>
      <c r="E1" s="1" t="inlineStr">
        <is>
          <t>제약회사</t>
        </is>
      </c>
      <c r="F1" s="1" t="inlineStr">
        <is>
          <t>조제단위</t>
        </is>
      </c>
      <c r="G1" s="1" t="inlineStr">
        <is>
          <t>약품단가</t>
        </is>
      </c>
      <c r="H1" s="1" t="inlineStr">
        <is>
          <t>조제수량</t>
        </is>
      </c>
      <c r="I1" s="1" t="inlineStr">
        <is>
          <t>조제건수</t>
        </is>
      </c>
      <c r="J1" s="1" t="inlineStr">
        <is>
          <t>약가합계</t>
        </is>
      </c>
      <c r="K1" s="1" t="inlineStr">
        <is>
          <t>조제개시일</t>
        </is>
      </c>
      <c r="L1" s="1" t="inlineStr">
        <is>
          <t>최종조제일</t>
        </is>
      </c>
      <c r="M1" s="1" t="inlineStr">
        <is>
          <t>재고총량</t>
        </is>
      </c>
      <c r="N1" s="1" t="inlineStr">
        <is>
          <t>재고금액</t>
        </is>
      </c>
      <c r="O1" s="1" t="inlineStr">
        <is>
          <t>적정재고</t>
        </is>
      </c>
      <c r="P1" s="1" t="inlineStr">
        <is>
          <t>보관위치</t>
        </is>
      </c>
    </row>
    <row r="2">
      <c r="A2" t="n">
        <v>1</v>
      </c>
      <c r="B2" t="inlineStr">
        <is>
          <t>보급</t>
        </is>
      </c>
      <c r="C2" t="inlineStr">
        <is>
          <t>프리그렐정</t>
        </is>
      </c>
      <c r="D2" t="inlineStr">
        <is>
          <t>643304110</t>
        </is>
      </c>
      <c r="E2" t="inlineStr">
        <is>
          <t>종근당</t>
        </is>
      </c>
      <c r="F2" t="inlineStr">
        <is>
          <t>1정</t>
        </is>
      </c>
      <c r="G2" s="2" t="n">
        <v>911</v>
      </c>
      <c r="H2" s="2" t="n">
        <v>18684</v>
      </c>
      <c r="I2" s="2" t="n">
        <v>190</v>
      </c>
      <c r="J2" s="2" t="n">
        <v>17021124</v>
      </c>
      <c r="K2" t="inlineStr">
        <is>
          <t>2026-05-02</t>
        </is>
      </c>
      <c r="L2" t="inlineStr">
        <is>
          <t>2026-05-22</t>
        </is>
      </c>
      <c r="M2" s="2" t="n">
        <v>240</v>
      </c>
      <c r="N2" s="2" t="n">
        <v>218640</v>
      </c>
      <c r="O2" s="2" t="n">
        <v>0</v>
      </c>
      <c r="P2" t="inlineStr">
        <is>
          <t>파01-8</t>
        </is>
      </c>
    </row>
    <row r="3">
      <c r="A3" t="n">
        <v>2</v>
      </c>
      <c r="B3" t="inlineStr">
        <is>
          <t>보급</t>
        </is>
      </c>
      <c r="C3" t="inlineStr">
        <is>
          <t>글리아티민연질캡슐</t>
        </is>
      </c>
      <c r="D3" t="inlineStr">
        <is>
          <t>694000600</t>
        </is>
      </c>
      <c r="E3" t="inlineStr">
        <is>
          <t>대웅바이오</t>
        </is>
      </c>
      <c r="F3" t="inlineStr">
        <is>
          <t>1캡슐</t>
        </is>
      </c>
      <c r="G3" s="2" t="n">
        <v>476</v>
      </c>
      <c r="H3" s="2" t="n">
        <v>33336</v>
      </c>
      <c r="I3" s="2" t="n">
        <v>263</v>
      </c>
      <c r="J3" s="2" t="n">
        <v>15867936</v>
      </c>
      <c r="K3" t="inlineStr">
        <is>
          <t>2026-05-04</t>
        </is>
      </c>
      <c r="L3" t="inlineStr">
        <is>
          <t>2026-05-22</t>
        </is>
      </c>
      <c r="M3" s="2" t="n">
        <v>2753</v>
      </c>
      <c r="N3" s="2" t="n">
        <v>1310428</v>
      </c>
      <c r="O3" s="2" t="n">
        <v>0</v>
      </c>
      <c r="P3" t="inlineStr">
        <is>
          <t>B05-1</t>
        </is>
      </c>
    </row>
    <row r="4">
      <c r="A4" t="n">
        <v>3</v>
      </c>
      <c r="B4" t="inlineStr">
        <is>
          <t>보급</t>
        </is>
      </c>
      <c r="C4" t="inlineStr">
        <is>
          <t>비리어드정</t>
        </is>
      </c>
      <c r="D4" t="inlineStr">
        <is>
          <t>625900040</t>
        </is>
      </c>
      <c r="E4" t="inlineStr">
        <is>
          <t>길리어드</t>
        </is>
      </c>
      <c r="F4" t="inlineStr">
        <is>
          <t>1정</t>
        </is>
      </c>
      <c r="G4" s="2" t="n">
        <v>2501</v>
      </c>
      <c r="H4" s="2" t="n">
        <v>3381</v>
      </c>
      <c r="I4" s="2" t="n">
        <v>35</v>
      </c>
      <c r="J4" s="2" t="n">
        <v>8455881</v>
      </c>
      <c r="K4" t="inlineStr">
        <is>
          <t>2026-05-06</t>
        </is>
      </c>
      <c r="L4" t="inlineStr">
        <is>
          <t>2026-05-22</t>
        </is>
      </c>
      <c r="M4" s="2" t="n">
        <v>685</v>
      </c>
      <c r="N4" s="2" t="n">
        <v>1713185</v>
      </c>
      <c r="O4" s="2" t="n">
        <v>0</v>
      </c>
      <c r="P4" t="inlineStr">
        <is>
          <t>A08-2</t>
        </is>
      </c>
    </row>
    <row r="5">
      <c r="A5" t="n">
        <v>4</v>
      </c>
      <c r="B5" t="inlineStr">
        <is>
          <t>보급</t>
        </is>
      </c>
      <c r="C5" t="inlineStr">
        <is>
          <t>케이캡정50밀리그램</t>
        </is>
      </c>
      <c r="D5" t="inlineStr">
        <is>
          <t>640007270</t>
        </is>
      </c>
      <c r="E5" t="inlineStr">
        <is>
          <t>에이치케이이노엔</t>
        </is>
      </c>
      <c r="F5" t="inlineStr">
        <is>
          <t>1정</t>
        </is>
      </c>
      <c r="G5" s="2" t="n">
        <v>1299</v>
      </c>
      <c r="H5" s="2" t="n">
        <v>6310</v>
      </c>
      <c r="I5" s="2" t="n">
        <v>187</v>
      </c>
      <c r="J5" s="2" t="n">
        <v>8196690</v>
      </c>
      <c r="K5" t="inlineStr">
        <is>
          <t>2026-05-04</t>
        </is>
      </c>
      <c r="L5" t="inlineStr">
        <is>
          <t>2026-05-22</t>
        </is>
      </c>
      <c r="M5" s="2" t="n">
        <v>3</v>
      </c>
      <c r="N5" s="2" t="n">
        <v>3897</v>
      </c>
      <c r="O5" s="2" t="n">
        <v>0</v>
      </c>
      <c r="P5" t="inlineStr">
        <is>
          <t>카01-3</t>
        </is>
      </c>
    </row>
    <row r="6">
      <c r="A6" t="n">
        <v>5</v>
      </c>
      <c r="B6" t="inlineStr">
        <is>
          <t>보급</t>
        </is>
      </c>
      <c r="C6" t="inlineStr">
        <is>
          <t>플라리스정</t>
        </is>
      </c>
      <c r="D6" t="inlineStr">
        <is>
          <t>647802630</t>
        </is>
      </c>
      <c r="E6" t="inlineStr">
        <is>
          <t>삼진제약</t>
        </is>
      </c>
      <c r="F6" t="inlineStr">
        <is>
          <t>1정</t>
        </is>
      </c>
      <c r="G6" s="2" t="n">
        <v>1077</v>
      </c>
      <c r="H6" s="2" t="n">
        <v>7529</v>
      </c>
      <c r="I6" s="2" t="n">
        <v>84</v>
      </c>
      <c r="J6" s="2" t="n">
        <v>8108733</v>
      </c>
      <c r="K6" t="inlineStr">
        <is>
          <t>2026-05-04</t>
        </is>
      </c>
      <c r="L6" t="inlineStr">
        <is>
          <t>2026-05-22</t>
        </is>
      </c>
      <c r="M6" s="2" t="n">
        <v>1201</v>
      </c>
      <c r="N6" s="2" t="n">
        <v>1293477</v>
      </c>
      <c r="O6" s="2" t="n">
        <v>0</v>
      </c>
      <c r="P6" t="inlineStr">
        <is>
          <t>파01-9</t>
        </is>
      </c>
    </row>
    <row r="7">
      <c r="A7" t="n">
        <v>6</v>
      </c>
      <c r="B7" t="inlineStr">
        <is>
          <t>보급</t>
        </is>
      </c>
      <c r="C7" t="inlineStr">
        <is>
          <t>카소비드정</t>
        </is>
      </c>
      <c r="D7" t="inlineStr">
        <is>
          <t>648503130</t>
        </is>
      </c>
      <c r="E7" t="inlineStr">
        <is>
          <t>신풍제약</t>
        </is>
      </c>
      <c r="F7" t="inlineStr">
        <is>
          <t>1정</t>
        </is>
      </c>
      <c r="G7" s="2" t="n">
        <v>3592</v>
      </c>
      <c r="H7" s="2" t="n">
        <v>2136</v>
      </c>
      <c r="I7" s="2" t="n">
        <v>28</v>
      </c>
      <c r="J7" s="2" t="n">
        <v>7672512</v>
      </c>
      <c r="K7" t="inlineStr">
        <is>
          <t>2026-05-04</t>
        </is>
      </c>
      <c r="L7" t="inlineStr">
        <is>
          <t>2026-05-22</t>
        </is>
      </c>
      <c r="M7" s="2" t="n">
        <v>300</v>
      </c>
      <c r="N7" s="2" t="n">
        <v>1077600</v>
      </c>
      <c r="O7" s="2" t="n">
        <v>0</v>
      </c>
      <c r="P7" t="inlineStr">
        <is>
          <t>A07-1</t>
        </is>
      </c>
    </row>
    <row r="8">
      <c r="A8" t="n">
        <v>7</v>
      </c>
      <c r="B8" t="inlineStr">
        <is>
          <t>보급</t>
        </is>
      </c>
      <c r="C8" t="inlineStr">
        <is>
          <t>브레트라정</t>
        </is>
      </c>
      <c r="D8" t="inlineStr">
        <is>
          <t>648501310</t>
        </is>
      </c>
      <c r="E8" t="inlineStr">
        <is>
          <t>신풍제약</t>
        </is>
      </c>
      <c r="F8" t="inlineStr">
        <is>
          <t>1정</t>
        </is>
      </c>
      <c r="G8" s="2" t="n">
        <v>2904</v>
      </c>
      <c r="H8" s="2" t="n">
        <v>2326</v>
      </c>
      <c r="I8" s="2" t="n">
        <v>27</v>
      </c>
      <c r="J8" s="2" t="n">
        <v>6754704</v>
      </c>
      <c r="K8" t="inlineStr">
        <is>
          <t>2026-05-04</t>
        </is>
      </c>
      <c r="L8" t="inlineStr">
        <is>
          <t>2026-05-22</t>
        </is>
      </c>
      <c r="M8" s="2" t="n">
        <v>802</v>
      </c>
      <c r="N8" s="2" t="n">
        <v>2329008</v>
      </c>
      <c r="O8" s="2" t="n">
        <v>0</v>
      </c>
      <c r="P8" t="inlineStr">
        <is>
          <t>A08-3</t>
        </is>
      </c>
    </row>
    <row r="9">
      <c r="A9" t="n">
        <v>8</v>
      </c>
      <c r="B9" t="inlineStr">
        <is>
          <t>보급</t>
        </is>
      </c>
      <c r="C9" t="inlineStr">
        <is>
          <t>이지산트정10/10밀리그램</t>
        </is>
      </c>
      <c r="D9" t="inlineStr">
        <is>
          <t>641906350</t>
        </is>
      </c>
      <c r="E9" t="inlineStr">
        <is>
          <t>(주)보령</t>
        </is>
      </c>
      <c r="F9" t="inlineStr">
        <is>
          <t>1정</t>
        </is>
      </c>
      <c r="G9" s="2" t="n">
        <v>1063</v>
      </c>
      <c r="H9" s="2" t="n">
        <v>6054</v>
      </c>
      <c r="I9" s="2" t="n">
        <v>56</v>
      </c>
      <c r="J9" s="2" t="n">
        <v>6435402</v>
      </c>
      <c r="K9" t="inlineStr">
        <is>
          <t>2026-05-04</t>
        </is>
      </c>
      <c r="L9" t="inlineStr">
        <is>
          <t>2026-05-22</t>
        </is>
      </c>
      <c r="M9" s="2" t="n">
        <v>1310</v>
      </c>
      <c r="N9" s="2" t="n">
        <v>1392530</v>
      </c>
      <c r="O9" s="2" t="n">
        <v>0</v>
      </c>
      <c r="P9" t="inlineStr">
        <is>
          <t>이지산트장</t>
        </is>
      </c>
    </row>
    <row r="10">
      <c r="A10" t="n">
        <v>9</v>
      </c>
      <c r="B10" t="inlineStr">
        <is>
          <t>보급</t>
        </is>
      </c>
      <c r="C10" t="inlineStr">
        <is>
          <t>베믈리디정</t>
        </is>
      </c>
      <c r="D10" t="inlineStr">
        <is>
          <t>625900120</t>
        </is>
      </c>
      <c r="E10" t="inlineStr">
        <is>
          <t>길리어드</t>
        </is>
      </c>
      <c r="F10" t="inlineStr">
        <is>
          <t>1정</t>
        </is>
      </c>
      <c r="G10" s="2" t="n">
        <v>3139</v>
      </c>
      <c r="H10" s="2" t="n">
        <v>1872</v>
      </c>
      <c r="I10" s="2" t="n">
        <v>25</v>
      </c>
      <c r="J10" s="2" t="n">
        <v>5876208</v>
      </c>
      <c r="K10" t="inlineStr">
        <is>
          <t>2026-05-06</t>
        </is>
      </c>
      <c r="L10" t="inlineStr">
        <is>
          <t>2026-05-22</t>
        </is>
      </c>
      <c r="M10" s="2" t="n">
        <v>581</v>
      </c>
      <c r="N10" s="2" t="n">
        <v>1823759</v>
      </c>
      <c r="O10" s="2" t="n">
        <v>0</v>
      </c>
      <c r="P10" t="inlineStr">
        <is>
          <t>A08-1</t>
        </is>
      </c>
    </row>
    <row r="11">
      <c r="A11" t="n">
        <v>10</v>
      </c>
      <c r="B11" t="inlineStr">
        <is>
          <t>보급</t>
        </is>
      </c>
      <c r="C11" t="inlineStr">
        <is>
          <t>펜졸캡슐</t>
        </is>
      </c>
      <c r="D11" t="inlineStr">
        <is>
          <t>643305980</t>
        </is>
      </c>
      <c r="E11" t="inlineStr">
        <is>
          <t>(주)종근당</t>
        </is>
      </c>
      <c r="F11" t="inlineStr">
        <is>
          <t>1캡슐</t>
        </is>
      </c>
      <c r="G11" s="2" t="n">
        <v>2264</v>
      </c>
      <c r="H11" s="2" t="n">
        <v>2562</v>
      </c>
      <c r="I11" s="2" t="n">
        <v>15</v>
      </c>
      <c r="J11" s="2" t="n">
        <v>5800368</v>
      </c>
      <c r="K11" t="inlineStr">
        <is>
          <t>2026-05-04</t>
        </is>
      </c>
      <c r="L11" t="inlineStr">
        <is>
          <t>2026-05-22</t>
        </is>
      </c>
      <c r="M11" s="2" t="n">
        <v>1006</v>
      </c>
      <c r="N11" s="2" t="n">
        <v>2277584</v>
      </c>
      <c r="O11" s="2" t="n">
        <v>0</v>
      </c>
      <c r="P11" t="inlineStr">
        <is>
          <t>파01-3</t>
        </is>
      </c>
    </row>
    <row r="12">
      <c r="A12" t="n">
        <v>11</v>
      </c>
      <c r="B12" t="inlineStr">
        <is>
          <t>보급</t>
        </is>
      </c>
      <c r="C12" t="inlineStr">
        <is>
          <t>유로박솜캡셀</t>
        </is>
      </c>
      <c r="D12" t="inlineStr">
        <is>
          <t>654001440</t>
        </is>
      </c>
      <c r="E12" t="inlineStr">
        <is>
          <t>아주약품</t>
        </is>
      </c>
      <c r="F12" t="inlineStr">
        <is>
          <t>1캡슐</t>
        </is>
      </c>
      <c r="G12" s="2" t="n">
        <v>706</v>
      </c>
      <c r="H12" s="2" t="n">
        <v>7932</v>
      </c>
      <c r="I12" s="2" t="n">
        <v>109</v>
      </c>
      <c r="J12" s="2" t="n">
        <v>5599992</v>
      </c>
      <c r="K12" t="inlineStr">
        <is>
          <t>2026-05-04</t>
        </is>
      </c>
      <c r="L12" t="inlineStr">
        <is>
          <t>2026-05-22</t>
        </is>
      </c>
      <c r="M12" s="2" t="n">
        <v>1340</v>
      </c>
      <c r="N12" s="2" t="n">
        <v>946040</v>
      </c>
      <c r="O12" s="2" t="n">
        <v>0</v>
      </c>
      <c r="P12" t="inlineStr">
        <is>
          <t>A05-5</t>
        </is>
      </c>
    </row>
    <row r="13">
      <c r="A13" t="n">
        <v>12</v>
      </c>
      <c r="B13" t="inlineStr">
        <is>
          <t>보급</t>
        </is>
      </c>
      <c r="C13" t="inlineStr">
        <is>
          <t>이지산트정10/5밀리그램</t>
        </is>
      </c>
      <c r="D13" t="inlineStr">
        <is>
          <t>641906360</t>
        </is>
      </c>
      <c r="E13" t="inlineStr">
        <is>
          <t>(주)보령</t>
        </is>
      </c>
      <c r="F13" t="inlineStr">
        <is>
          <t>1정</t>
        </is>
      </c>
      <c r="G13" s="2" t="n">
        <v>761</v>
      </c>
      <c r="H13" s="2" t="n">
        <v>7133</v>
      </c>
      <c r="I13" s="2" t="n">
        <v>54</v>
      </c>
      <c r="J13" s="2" t="n">
        <v>5428213</v>
      </c>
      <c r="K13" t="inlineStr">
        <is>
          <t>2026-05-04</t>
        </is>
      </c>
      <c r="L13" t="inlineStr">
        <is>
          <t>2026-05-22</t>
        </is>
      </c>
      <c r="M13" s="2" t="n">
        <v>293.5</v>
      </c>
      <c r="N13" s="2" t="n">
        <v>223354</v>
      </c>
      <c r="O13" s="2" t="n">
        <v>0</v>
      </c>
      <c r="P13" t="inlineStr">
        <is>
          <t>이지산트장</t>
        </is>
      </c>
    </row>
    <row r="14">
      <c r="A14" t="n">
        <v>13</v>
      </c>
      <c r="B14" t="inlineStr">
        <is>
          <t>보급</t>
        </is>
      </c>
      <c r="C14" t="inlineStr">
        <is>
          <t>타그리소정80밀리그램</t>
        </is>
      </c>
      <c r="D14" t="inlineStr">
        <is>
          <t>650700980</t>
        </is>
      </c>
      <c r="E14" t="inlineStr">
        <is>
          <t>한국아스트라제네카</t>
        </is>
      </c>
      <c r="F14" t="inlineStr">
        <is>
          <t>1정</t>
        </is>
      </c>
      <c r="G14" s="2" t="n">
        <v>190108</v>
      </c>
      <c r="H14" s="2" t="n">
        <v>28</v>
      </c>
      <c r="I14" s="2" t="n">
        <v>1</v>
      </c>
      <c r="J14" s="2" t="n">
        <v>5323024</v>
      </c>
      <c r="K14" t="inlineStr">
        <is>
          <t>2026-05-14</t>
        </is>
      </c>
      <c r="L14" t="inlineStr">
        <is>
          <t>2026-05-14</t>
        </is>
      </c>
      <c r="M14" s="2" t="n">
        <v>10</v>
      </c>
      <c r="N14" s="2" t="n">
        <v>0</v>
      </c>
      <c r="O14" s="2" t="n">
        <v>0</v>
      </c>
    </row>
    <row r="15">
      <c r="A15" t="n">
        <v>14</v>
      </c>
      <c r="B15" t="inlineStr">
        <is>
          <t>보급</t>
        </is>
      </c>
      <c r="C15" t="inlineStr">
        <is>
          <t>엔트레스토필름코팅정50밀리그램</t>
        </is>
      </c>
      <c r="D15" t="inlineStr">
        <is>
          <t>653602720</t>
        </is>
      </c>
      <c r="E15" t="inlineStr">
        <is>
          <t>한국노바티스</t>
        </is>
      </c>
      <c r="F15" t="inlineStr">
        <is>
          <t>1정</t>
        </is>
      </c>
      <c r="G15" s="2" t="n">
        <v>1554</v>
      </c>
      <c r="H15" s="2" t="n">
        <v>3340.5</v>
      </c>
      <c r="I15" s="2" t="n">
        <v>35</v>
      </c>
      <c r="J15" s="2" t="n">
        <v>5191137</v>
      </c>
      <c r="K15" t="inlineStr">
        <is>
          <t>2026-05-04</t>
        </is>
      </c>
      <c r="L15" t="inlineStr">
        <is>
          <t>2026-05-22</t>
        </is>
      </c>
      <c r="M15" s="2" t="n">
        <v>342</v>
      </c>
      <c r="N15" s="2" t="n">
        <v>531468</v>
      </c>
      <c r="O15" s="2" t="n">
        <v>0</v>
      </c>
      <c r="P15" t="inlineStr">
        <is>
          <t>OH03-1</t>
        </is>
      </c>
    </row>
    <row r="16">
      <c r="A16" t="n">
        <v>15</v>
      </c>
      <c r="B16" t="inlineStr">
        <is>
          <t>보급</t>
        </is>
      </c>
      <c r="C16" t="inlineStr">
        <is>
          <t>리피로우정20밀리그램</t>
        </is>
      </c>
      <c r="D16" t="inlineStr">
        <is>
          <t>643300660</t>
        </is>
      </c>
      <c r="E16" t="inlineStr">
        <is>
          <t>(주)종근당</t>
        </is>
      </c>
      <c r="F16" t="inlineStr">
        <is>
          <t>1정</t>
        </is>
      </c>
      <c r="G16" s="2" t="n">
        <v>707</v>
      </c>
      <c r="H16" s="2" t="n">
        <v>6896</v>
      </c>
      <c r="I16" s="2" t="n">
        <v>76</v>
      </c>
      <c r="J16" s="2" t="n">
        <v>4875472</v>
      </c>
      <c r="K16" t="inlineStr">
        <is>
          <t>2026-05-04</t>
        </is>
      </c>
      <c r="L16" t="inlineStr">
        <is>
          <t>2026-05-22</t>
        </is>
      </c>
      <c r="M16" s="2" t="n">
        <v>1181</v>
      </c>
      <c r="N16" s="2" t="n">
        <v>834967</v>
      </c>
      <c r="O16" s="2" t="n">
        <v>0</v>
      </c>
      <c r="P16" t="inlineStr">
        <is>
          <t>A08-2</t>
        </is>
      </c>
    </row>
    <row r="17">
      <c r="A17" t="n">
        <v>16</v>
      </c>
      <c r="B17" t="inlineStr">
        <is>
          <t>보급</t>
        </is>
      </c>
      <c r="C17" t="inlineStr">
        <is>
          <t>엑시드캡슐150밀리그램</t>
        </is>
      </c>
      <c r="D17" t="inlineStr">
        <is>
          <t>641601910</t>
        </is>
      </c>
      <c r="E17" t="inlineStr">
        <is>
          <t>대웅제약</t>
        </is>
      </c>
      <c r="F17" t="inlineStr">
        <is>
          <t>1캡슐</t>
        </is>
      </c>
      <c r="G17" s="2" t="n">
        <v>308</v>
      </c>
      <c r="H17" s="2" t="n">
        <v>15740</v>
      </c>
      <c r="I17" s="2" t="n">
        <v>159</v>
      </c>
      <c r="J17" s="2" t="n">
        <v>4847920</v>
      </c>
      <c r="K17" t="inlineStr">
        <is>
          <t>2026-05-04</t>
        </is>
      </c>
      <c r="L17" t="inlineStr">
        <is>
          <t>2026-05-22</t>
        </is>
      </c>
      <c r="M17" s="2" t="n">
        <v>-71</v>
      </c>
      <c r="N17" s="2" t="n">
        <v>-21868</v>
      </c>
      <c r="O17" s="2" t="n">
        <v>0</v>
      </c>
      <c r="P17" t="inlineStr">
        <is>
          <t>OH02-7</t>
        </is>
      </c>
    </row>
    <row r="18">
      <c r="A18" t="n">
        <v>17</v>
      </c>
      <c r="B18" t="inlineStr">
        <is>
          <t>보급</t>
        </is>
      </c>
      <c r="C18" t="inlineStr">
        <is>
          <t>휴미라펜주40mg/0.4mL</t>
        </is>
      </c>
      <c r="D18" t="inlineStr">
        <is>
          <t>624900271</t>
        </is>
      </c>
      <c r="E18" t="inlineStr">
        <is>
          <t>한국애브비</t>
        </is>
      </c>
      <c r="F18" t="inlineStr">
        <is>
          <t>0.4mL</t>
        </is>
      </c>
      <c r="G18" s="2" t="n">
        <v>284677</v>
      </c>
      <c r="H18" s="2" t="n">
        <v>17</v>
      </c>
      <c r="I18" s="2" t="n">
        <v>6</v>
      </c>
      <c r="J18" s="2" t="n">
        <v>4839509</v>
      </c>
      <c r="K18" t="inlineStr">
        <is>
          <t>2026-05-06</t>
        </is>
      </c>
      <c r="L18" t="inlineStr">
        <is>
          <t>2026-05-21</t>
        </is>
      </c>
      <c r="M18" s="2" t="n">
        <v>10</v>
      </c>
      <c r="N18" s="2" t="n">
        <v>2846770</v>
      </c>
      <c r="O18" s="2" t="n">
        <v>0</v>
      </c>
      <c r="P18" t="inlineStr">
        <is>
          <t>냉장고</t>
        </is>
      </c>
    </row>
    <row r="19">
      <c r="A19" t="n">
        <v>18</v>
      </c>
      <c r="B19" t="inlineStr">
        <is>
          <t>비급</t>
        </is>
      </c>
      <c r="C19" t="inlineStr">
        <is>
          <t>구루치온정100mg</t>
        </is>
      </c>
      <c r="D19" t="inlineStr">
        <is>
          <t>2118202</t>
        </is>
      </c>
      <c r="E19" t="inlineStr">
        <is>
          <t>영풍제약</t>
        </is>
      </c>
      <c r="F19" t="inlineStr">
        <is>
          <t>0</t>
        </is>
      </c>
      <c r="G19" s="2" t="n">
        <v>700</v>
      </c>
      <c r="H19" s="2" t="n">
        <v>6797</v>
      </c>
      <c r="I19" s="2" t="n">
        <v>36</v>
      </c>
      <c r="J19" s="2" t="n">
        <v>4757900</v>
      </c>
      <c r="K19" t="inlineStr">
        <is>
          <t>2026-05-06</t>
        </is>
      </c>
      <c r="L19" t="inlineStr">
        <is>
          <t>2026-05-22</t>
        </is>
      </c>
      <c r="M19" s="2" t="n">
        <v>3308</v>
      </c>
      <c r="N19" s="2" t="n">
        <v>2315600</v>
      </c>
      <c r="O19" s="2" t="n">
        <v>0</v>
      </c>
      <c r="P19" t="inlineStr">
        <is>
          <t>A08-3</t>
        </is>
      </c>
    </row>
    <row r="20">
      <c r="A20" t="n">
        <v>19</v>
      </c>
      <c r="B20" t="inlineStr">
        <is>
          <t>보급</t>
        </is>
      </c>
      <c r="C20" t="inlineStr">
        <is>
          <t>리피토정10밀리그램</t>
        </is>
      </c>
      <c r="D20" t="inlineStr">
        <is>
          <t>073400340</t>
        </is>
      </c>
      <c r="E20" t="inlineStr">
        <is>
          <t>비아트리스</t>
        </is>
      </c>
      <c r="F20" t="inlineStr">
        <is>
          <t>1정</t>
        </is>
      </c>
      <c r="G20" s="2" t="n">
        <v>638</v>
      </c>
      <c r="H20" s="2" t="n">
        <v>7292</v>
      </c>
      <c r="I20" s="2" t="n">
        <v>79</v>
      </c>
      <c r="J20" s="2" t="n">
        <v>4652296</v>
      </c>
      <c r="K20" t="inlineStr">
        <is>
          <t>2026-05-04</t>
        </is>
      </c>
      <c r="L20" t="inlineStr">
        <is>
          <t>2026-05-22</t>
        </is>
      </c>
      <c r="M20" s="2" t="n">
        <v>1148</v>
      </c>
      <c r="N20" s="2" t="n">
        <v>732424</v>
      </c>
      <c r="O20" s="2" t="n">
        <v>3000</v>
      </c>
      <c r="P20" t="inlineStr">
        <is>
          <t>CH1-13(B2-1)</t>
        </is>
      </c>
    </row>
    <row r="21">
      <c r="A21" t="n">
        <v>20</v>
      </c>
      <c r="B21" t="inlineStr">
        <is>
          <t>보급</t>
        </is>
      </c>
      <c r="C21" t="inlineStr">
        <is>
          <t>베아셉트정5밀리그램</t>
        </is>
      </c>
      <c r="D21" t="inlineStr">
        <is>
          <t>694001110</t>
        </is>
      </c>
      <c r="E21" t="inlineStr">
        <is>
          <t>대웅바이오</t>
        </is>
      </c>
      <c r="F21" t="inlineStr">
        <is>
          <t>1정</t>
        </is>
      </c>
      <c r="G21" s="2" t="n">
        <v>1855</v>
      </c>
      <c r="H21" s="2" t="n">
        <v>2466</v>
      </c>
      <c r="I21" s="2" t="n">
        <v>52</v>
      </c>
      <c r="J21" s="2" t="n">
        <v>4574430</v>
      </c>
      <c r="K21" t="inlineStr">
        <is>
          <t>2026-05-06</t>
        </is>
      </c>
      <c r="L21" t="inlineStr">
        <is>
          <t>2026-05-21</t>
        </is>
      </c>
      <c r="M21" s="2" t="n">
        <v>478.5</v>
      </c>
      <c r="N21" s="2" t="n">
        <v>887618</v>
      </c>
      <c r="O21" s="2" t="n">
        <v>0</v>
      </c>
      <c r="P21" t="inlineStr">
        <is>
          <t>A03-2</t>
        </is>
      </c>
    </row>
    <row r="22">
      <c r="A22" t="n">
        <v>21</v>
      </c>
      <c r="B22" t="inlineStr">
        <is>
          <t>보급</t>
        </is>
      </c>
      <c r="C22" t="inlineStr">
        <is>
          <t>탐스피드캡슐</t>
        </is>
      </c>
      <c r="D22" t="inlineStr">
        <is>
          <t>647802310</t>
        </is>
      </c>
      <c r="E22" t="inlineStr">
        <is>
          <t>삼진제약</t>
        </is>
      </c>
      <c r="F22" t="inlineStr">
        <is>
          <t>1캡슐</t>
        </is>
      </c>
      <c r="G22" s="2" t="n">
        <v>465</v>
      </c>
      <c r="H22" s="2" t="n">
        <v>9788</v>
      </c>
      <c r="I22" s="2" t="n">
        <v>131</v>
      </c>
      <c r="J22" s="2" t="n">
        <v>4551420</v>
      </c>
      <c r="K22" t="inlineStr">
        <is>
          <t>2026-05-04</t>
        </is>
      </c>
      <c r="L22" t="inlineStr">
        <is>
          <t>2026-05-22</t>
        </is>
      </c>
      <c r="M22" s="2" t="n">
        <v>1626</v>
      </c>
      <c r="N22" s="2" t="n">
        <v>756090</v>
      </c>
      <c r="O22" s="2" t="n">
        <v>0</v>
      </c>
      <c r="P22" t="inlineStr">
        <is>
          <t>A05-6</t>
        </is>
      </c>
    </row>
    <row r="23">
      <c r="A23" t="n">
        <v>22</v>
      </c>
      <c r="B23" t="inlineStr">
        <is>
          <t>보급</t>
        </is>
      </c>
      <c r="C23" t="inlineStr">
        <is>
          <t>플라빅스정75밀리그램</t>
        </is>
      </c>
      <c r="D23" t="inlineStr">
        <is>
          <t>652101570</t>
        </is>
      </c>
      <c r="E23" t="inlineStr">
        <is>
          <t>(주)한독</t>
        </is>
      </c>
      <c r="F23" t="inlineStr">
        <is>
          <t>1정</t>
        </is>
      </c>
      <c r="G23" s="2" t="n">
        <v>1081</v>
      </c>
      <c r="H23" s="2" t="n">
        <v>4102</v>
      </c>
      <c r="I23" s="2" t="n">
        <v>42</v>
      </c>
      <c r="J23" s="2" t="n">
        <v>4434262</v>
      </c>
      <c r="K23" t="inlineStr">
        <is>
          <t>2026-05-04</t>
        </is>
      </c>
      <c r="L23" t="inlineStr">
        <is>
          <t>2026-05-22</t>
        </is>
      </c>
      <c r="M23" s="2" t="n">
        <v>1590.5</v>
      </c>
      <c r="N23" s="2" t="n">
        <v>1719331</v>
      </c>
      <c r="O23" s="2" t="n">
        <v>1000</v>
      </c>
      <c r="P23" t="inlineStr">
        <is>
          <t>파01-9</t>
        </is>
      </c>
    </row>
    <row r="24">
      <c r="A24" t="n">
        <v>23</v>
      </c>
      <c r="B24" t="inlineStr">
        <is>
          <t>비급</t>
        </is>
      </c>
      <c r="C24" t="inlineStr">
        <is>
          <t>바이오탑하이포르테캡슐</t>
        </is>
      </c>
      <c r="D24" t="inlineStr">
        <is>
          <t>2120438</t>
        </is>
      </c>
      <c r="F24" t="inlineStr">
        <is>
          <t>0</t>
        </is>
      </c>
      <c r="G24" s="2" t="n">
        <v>700</v>
      </c>
      <c r="H24" s="2" t="n">
        <v>6274</v>
      </c>
      <c r="I24" s="2" t="n">
        <v>90</v>
      </c>
      <c r="J24" s="2" t="n">
        <v>4391800</v>
      </c>
      <c r="K24" t="inlineStr">
        <is>
          <t>2026-05-06</t>
        </is>
      </c>
      <c r="L24" t="inlineStr">
        <is>
          <t>2026-05-22</t>
        </is>
      </c>
      <c r="M24" s="2" t="n">
        <v>431</v>
      </c>
      <c r="N24" s="2" t="n">
        <v>237050</v>
      </c>
      <c r="O24" s="2" t="n">
        <v>0</v>
      </c>
      <c r="P24" t="inlineStr">
        <is>
          <t>바H01-6</t>
        </is>
      </c>
    </row>
    <row r="25">
      <c r="A25" t="n">
        <v>24</v>
      </c>
      <c r="B25" t="inlineStr">
        <is>
          <t>보급</t>
        </is>
      </c>
      <c r="C25" t="inlineStr">
        <is>
          <t>로수젯정10/20밀리그램</t>
        </is>
      </c>
      <c r="D25" t="inlineStr">
        <is>
          <t>643507270</t>
        </is>
      </c>
      <c r="E25" t="inlineStr">
        <is>
          <t>한미약품</t>
        </is>
      </c>
      <c r="F25" t="inlineStr">
        <is>
          <t>1정</t>
        </is>
      </c>
      <c r="G25" s="2" t="n">
        <v>1093</v>
      </c>
      <c r="H25" s="2" t="n">
        <v>3993</v>
      </c>
      <c r="I25" s="2" t="n">
        <v>44</v>
      </c>
      <c r="J25" s="2" t="n">
        <v>4367749</v>
      </c>
      <c r="K25" t="inlineStr">
        <is>
          <t>2026-05-04</t>
        </is>
      </c>
      <c r="L25" t="inlineStr">
        <is>
          <t>2026-05-22</t>
        </is>
      </c>
      <c r="M25" s="2" t="n">
        <v>495</v>
      </c>
      <c r="N25" s="2" t="n">
        <v>541035</v>
      </c>
      <c r="O25" s="2" t="n">
        <v>0</v>
      </c>
      <c r="P25" t="inlineStr">
        <is>
          <t>라01-5</t>
        </is>
      </c>
    </row>
    <row r="26">
      <c r="A26" t="n">
        <v>25</v>
      </c>
      <c r="B26" t="inlineStr">
        <is>
          <t>보급</t>
        </is>
      </c>
      <c r="C26" t="inlineStr">
        <is>
          <t>로수로드정10밀리그램</t>
        </is>
      </c>
      <c r="D26" t="inlineStr">
        <is>
          <t>643305080</t>
        </is>
      </c>
      <c r="E26" t="inlineStr">
        <is>
          <t>종근당</t>
        </is>
      </c>
      <c r="F26" t="inlineStr">
        <is>
          <t>1정</t>
        </is>
      </c>
      <c r="G26" s="2" t="n">
        <v>611</v>
      </c>
      <c r="H26" s="2" t="n">
        <v>7128</v>
      </c>
      <c r="I26" s="2" t="n">
        <v>62</v>
      </c>
      <c r="J26" s="2" t="n">
        <v>4355208</v>
      </c>
      <c r="K26" t="inlineStr">
        <is>
          <t>2026-05-04</t>
        </is>
      </c>
      <c r="L26" t="inlineStr">
        <is>
          <t>2026-05-22</t>
        </is>
      </c>
      <c r="M26" s="2" t="n">
        <v>1323</v>
      </c>
      <c r="N26" s="2" t="n">
        <v>808353</v>
      </c>
      <c r="O26" s="2" t="n">
        <v>0</v>
      </c>
      <c r="P26" t="inlineStr">
        <is>
          <t>LH1-10</t>
        </is>
      </c>
    </row>
    <row r="27">
      <c r="A27" t="n">
        <v>26</v>
      </c>
      <c r="B27" t="inlineStr">
        <is>
          <t>보급</t>
        </is>
      </c>
      <c r="C27" t="inlineStr">
        <is>
          <t>펜넬캡슐</t>
        </is>
      </c>
      <c r="D27" t="inlineStr">
        <is>
          <t>652300700</t>
        </is>
      </c>
      <c r="E27" t="inlineStr">
        <is>
          <t>파마킹</t>
        </is>
      </c>
      <c r="F27" t="inlineStr">
        <is>
          <t>1캡슐</t>
        </is>
      </c>
      <c r="G27" s="2" t="n">
        <v>312</v>
      </c>
      <c r="H27" s="2" t="n">
        <v>13648</v>
      </c>
      <c r="I27" s="2" t="n">
        <v>48</v>
      </c>
      <c r="J27" s="2" t="n">
        <v>4258176</v>
      </c>
      <c r="K27" t="inlineStr">
        <is>
          <t>2026-05-04</t>
        </is>
      </c>
      <c r="L27" t="inlineStr">
        <is>
          <t>2026-05-22</t>
        </is>
      </c>
      <c r="M27" s="2" t="n">
        <v>3711</v>
      </c>
      <c r="N27" s="2" t="n">
        <v>1157832</v>
      </c>
      <c r="O27" s="2" t="n">
        <v>0</v>
      </c>
      <c r="P27" t="inlineStr">
        <is>
          <t>창고</t>
        </is>
      </c>
    </row>
    <row r="28">
      <c r="A28" t="n">
        <v>27</v>
      </c>
      <c r="B28" t="inlineStr">
        <is>
          <t>보급</t>
        </is>
      </c>
      <c r="C28" t="inlineStr">
        <is>
          <t>유리토스정</t>
        </is>
      </c>
      <c r="D28" t="inlineStr">
        <is>
          <t>668901520</t>
        </is>
      </c>
      <c r="E28" t="inlineStr">
        <is>
          <t>(주)엘지화학</t>
        </is>
      </c>
      <c r="F28" t="inlineStr">
        <is>
          <t>1정</t>
        </is>
      </c>
      <c r="G28" s="2" t="n">
        <v>391</v>
      </c>
      <c r="H28" s="2" t="n">
        <v>10576</v>
      </c>
      <c r="I28" s="2" t="n">
        <v>68</v>
      </c>
      <c r="J28" s="2" t="n">
        <v>4135216</v>
      </c>
      <c r="K28" t="inlineStr">
        <is>
          <t>2026-05-04</t>
        </is>
      </c>
      <c r="L28" t="inlineStr">
        <is>
          <t>2026-05-22</t>
        </is>
      </c>
      <c r="M28" s="2" t="n">
        <v>5648</v>
      </c>
      <c r="N28" s="2" t="n">
        <v>2208368</v>
      </c>
      <c r="O28" s="2" t="n">
        <v>0</v>
      </c>
      <c r="P28" t="inlineStr">
        <is>
          <t>A06-3</t>
        </is>
      </c>
    </row>
    <row r="29">
      <c r="A29" t="n">
        <v>28</v>
      </c>
      <c r="B29" t="inlineStr">
        <is>
          <t>보급</t>
        </is>
      </c>
      <c r="C29" t="inlineStr">
        <is>
          <t>자큐보정20밀리그램</t>
        </is>
      </c>
      <c r="D29" t="inlineStr">
        <is>
          <t>078600010</t>
        </is>
      </c>
      <c r="E29" t="inlineStr">
        <is>
          <t>온코닉테라퓨틱스</t>
        </is>
      </c>
      <c r="F29" t="inlineStr">
        <is>
          <t>1정</t>
        </is>
      </c>
      <c r="G29" s="2" t="n">
        <v>911</v>
      </c>
      <c r="H29" s="2" t="n">
        <v>4533</v>
      </c>
      <c r="I29" s="2" t="n">
        <v>85</v>
      </c>
      <c r="J29" s="2" t="n">
        <v>4129563</v>
      </c>
      <c r="K29" t="inlineStr">
        <is>
          <t>2026-05-04</t>
        </is>
      </c>
      <c r="L29" t="inlineStr">
        <is>
          <t>2026-05-22</t>
        </is>
      </c>
      <c r="M29" s="2" t="n">
        <v>392</v>
      </c>
      <c r="N29" s="2" t="n">
        <v>357112</v>
      </c>
      <c r="O29" s="2" t="n">
        <v>300</v>
      </c>
      <c r="P29" t="inlineStr">
        <is>
          <t>사02-7</t>
        </is>
      </c>
    </row>
    <row r="30">
      <c r="A30" t="n">
        <v>29</v>
      </c>
      <c r="B30" t="inlineStr">
        <is>
          <t>보급</t>
        </is>
      </c>
      <c r="C30" t="inlineStr">
        <is>
          <t>글리아타민정</t>
        </is>
      </c>
      <c r="D30" t="inlineStr">
        <is>
          <t>694000670</t>
        </is>
      </c>
      <c r="E30" t="inlineStr">
        <is>
          <t>대웅바이오</t>
        </is>
      </c>
      <c r="F30" t="inlineStr">
        <is>
          <t>1정</t>
        </is>
      </c>
      <c r="G30" s="2" t="n">
        <v>476</v>
      </c>
      <c r="H30" s="2" t="n">
        <v>8537</v>
      </c>
      <c r="I30" s="2" t="n">
        <v>66</v>
      </c>
      <c r="J30" s="2" t="n">
        <v>4063612</v>
      </c>
      <c r="K30" t="inlineStr">
        <is>
          <t>2026-05-06</t>
        </is>
      </c>
      <c r="L30" t="inlineStr">
        <is>
          <t>2026-05-22</t>
        </is>
      </c>
      <c r="M30" s="2" t="n">
        <v>16679</v>
      </c>
      <c r="N30" s="2" t="n">
        <v>7939204</v>
      </c>
      <c r="O30" s="2" t="n">
        <v>6000</v>
      </c>
      <c r="P30" t="inlineStr">
        <is>
          <t>B05-2</t>
        </is>
      </c>
    </row>
    <row r="31">
      <c r="A31" t="n">
        <v>30</v>
      </c>
      <c r="B31" t="inlineStr">
        <is>
          <t>보급</t>
        </is>
      </c>
      <c r="C31" t="inlineStr">
        <is>
          <t>보령피나스테리드정5밀리그램</t>
        </is>
      </c>
      <c r="D31" t="inlineStr">
        <is>
          <t>641902100</t>
        </is>
      </c>
      <c r="E31" t="inlineStr">
        <is>
          <t>(주)보령</t>
        </is>
      </c>
      <c r="F31" t="inlineStr">
        <is>
          <t>1정</t>
        </is>
      </c>
      <c r="G31" s="2" t="n">
        <v>622</v>
      </c>
      <c r="H31" s="2" t="n">
        <v>6384</v>
      </c>
      <c r="I31" s="2" t="n">
        <v>75</v>
      </c>
      <c r="J31" s="2" t="n">
        <v>3970848</v>
      </c>
      <c r="K31" t="inlineStr">
        <is>
          <t>2026-05-04</t>
        </is>
      </c>
      <c r="L31" t="inlineStr">
        <is>
          <t>2026-05-22</t>
        </is>
      </c>
      <c r="M31" s="2" t="n">
        <v>4171</v>
      </c>
      <c r="N31" s="2" t="n">
        <v>2594362</v>
      </c>
      <c r="O31" s="2" t="n">
        <v>0</v>
      </c>
      <c r="P31" t="inlineStr">
        <is>
          <t>A06-4</t>
        </is>
      </c>
    </row>
    <row r="32">
      <c r="A32" t="n">
        <v>31</v>
      </c>
      <c r="B32" t="inlineStr">
        <is>
          <t>보급</t>
        </is>
      </c>
      <c r="C32" t="inlineStr">
        <is>
          <t>투톤네블정</t>
        </is>
      </c>
      <c r="D32" t="inlineStr">
        <is>
          <t>671806950</t>
        </is>
      </c>
      <c r="E32" t="inlineStr">
        <is>
          <t>대원제약</t>
        </is>
      </c>
      <c r="F32" t="inlineStr">
        <is>
          <t>1정</t>
        </is>
      </c>
      <c r="G32" s="2" t="n">
        <v>162</v>
      </c>
      <c r="H32" s="2" t="n">
        <v>23554</v>
      </c>
      <c r="I32" s="2" t="n">
        <v>102</v>
      </c>
      <c r="J32" s="2" t="n">
        <v>3815748</v>
      </c>
      <c r="K32" t="inlineStr">
        <is>
          <t>2026-05-04</t>
        </is>
      </c>
      <c r="L32" t="inlineStr">
        <is>
          <t>2026-05-15</t>
        </is>
      </c>
      <c r="M32" s="2" t="n">
        <v>1489</v>
      </c>
      <c r="N32" s="2" t="n">
        <v>241218</v>
      </c>
      <c r="O32" s="2" t="n">
        <v>0</v>
      </c>
      <c r="P32" t="inlineStr">
        <is>
          <t>A05-6</t>
        </is>
      </c>
    </row>
    <row r="33">
      <c r="A33" t="n">
        <v>32</v>
      </c>
      <c r="B33" t="inlineStr">
        <is>
          <t>보급</t>
        </is>
      </c>
      <c r="C33" t="inlineStr">
        <is>
          <t>로수젯정10/10밀리그램</t>
        </is>
      </c>
      <c r="D33" t="inlineStr">
        <is>
          <t>643507260</t>
        </is>
      </c>
      <c r="E33" t="inlineStr">
        <is>
          <t>한미약품</t>
        </is>
      </c>
      <c r="F33" t="inlineStr">
        <is>
          <t>1정</t>
        </is>
      </c>
      <c r="G33" s="2" t="n">
        <v>1087</v>
      </c>
      <c r="H33" s="2" t="n">
        <v>3457</v>
      </c>
      <c r="I33" s="2" t="n">
        <v>34</v>
      </c>
      <c r="J33" s="2" t="n">
        <v>3757759</v>
      </c>
      <c r="K33" t="inlineStr">
        <is>
          <t>2026-05-04</t>
        </is>
      </c>
      <c r="L33" t="inlineStr">
        <is>
          <t>2026-05-22</t>
        </is>
      </c>
      <c r="M33" s="2" t="n">
        <v>654</v>
      </c>
      <c r="N33" s="2" t="n">
        <v>710898</v>
      </c>
      <c r="O33" s="2" t="n">
        <v>0</v>
      </c>
      <c r="P33" t="inlineStr">
        <is>
          <t>라01-5</t>
        </is>
      </c>
    </row>
    <row r="34">
      <c r="A34" t="n">
        <v>33</v>
      </c>
      <c r="B34" t="inlineStr">
        <is>
          <t>보급</t>
        </is>
      </c>
      <c r="C34" t="inlineStr">
        <is>
          <t>케프라정500밀리그램</t>
        </is>
      </c>
      <c r="D34" t="inlineStr">
        <is>
          <t>654100150</t>
        </is>
      </c>
      <c r="E34" t="inlineStr">
        <is>
          <t>한국유씨비</t>
        </is>
      </c>
      <c r="F34" t="inlineStr">
        <is>
          <t>1정</t>
        </is>
      </c>
      <c r="G34" s="2" t="n">
        <v>693</v>
      </c>
      <c r="H34" s="2" t="n">
        <v>5420.5</v>
      </c>
      <c r="I34" s="2" t="n">
        <v>38</v>
      </c>
      <c r="J34" s="2" t="n">
        <v>3756407</v>
      </c>
      <c r="K34" t="inlineStr">
        <is>
          <t>2026-05-06</t>
        </is>
      </c>
      <c r="L34" t="inlineStr">
        <is>
          <t>2026-05-21</t>
        </is>
      </c>
      <c r="M34" s="2" t="n">
        <v>1153.5</v>
      </c>
      <c r="N34" s="2" t="n">
        <v>799376</v>
      </c>
      <c r="O34" s="2" t="n">
        <v>0</v>
      </c>
      <c r="P34" t="inlineStr">
        <is>
          <t>가1-11</t>
        </is>
      </c>
    </row>
    <row r="35">
      <c r="A35" t="n">
        <v>34</v>
      </c>
      <c r="B35" t="inlineStr">
        <is>
          <t>보급</t>
        </is>
      </c>
      <c r="C35" t="inlineStr">
        <is>
          <t>리바로젯정2/10밀리그램</t>
        </is>
      </c>
      <c r="D35" t="inlineStr">
        <is>
          <t>644914960</t>
        </is>
      </c>
      <c r="E35" t="inlineStr">
        <is>
          <t>제이더블유중외</t>
        </is>
      </c>
      <c r="F35" t="inlineStr">
        <is>
          <t>1정</t>
        </is>
      </c>
      <c r="G35" s="2" t="n">
        <v>1307</v>
      </c>
      <c r="H35" s="2" t="n">
        <v>2809</v>
      </c>
      <c r="I35" s="2" t="n">
        <v>29</v>
      </c>
      <c r="J35" s="2" t="n">
        <v>3671363</v>
      </c>
      <c r="K35" t="inlineStr">
        <is>
          <t>2026-05-06</t>
        </is>
      </c>
      <c r="L35" t="inlineStr">
        <is>
          <t>2026-05-22</t>
        </is>
      </c>
      <c r="M35" s="2" t="n">
        <v>275</v>
      </c>
      <c r="N35" s="2" t="n">
        <v>359425</v>
      </c>
      <c r="O35" s="2" t="n">
        <v>0</v>
      </c>
      <c r="P35" t="inlineStr">
        <is>
          <t>A01-8</t>
        </is>
      </c>
    </row>
    <row r="36">
      <c r="A36" t="n">
        <v>35</v>
      </c>
      <c r="B36" t="inlineStr">
        <is>
          <t>보급</t>
        </is>
      </c>
      <c r="C36" t="inlineStr">
        <is>
          <t>릭시아나정30밀리그램</t>
        </is>
      </c>
      <c r="D36" t="inlineStr">
        <is>
          <t>680900180</t>
        </is>
      </c>
      <c r="E36" t="inlineStr">
        <is>
          <t>한국다이이찌산쿄</t>
        </is>
      </c>
      <c r="F36" t="inlineStr">
        <is>
          <t>1정</t>
        </is>
      </c>
      <c r="G36" s="2" t="n">
        <v>2032</v>
      </c>
      <c r="H36" s="2" t="n">
        <v>1745</v>
      </c>
      <c r="I36" s="2" t="n">
        <v>16</v>
      </c>
      <c r="J36" s="2" t="n">
        <v>3545840</v>
      </c>
      <c r="K36" t="inlineStr">
        <is>
          <t>2026-05-06</t>
        </is>
      </c>
      <c r="L36" t="inlineStr">
        <is>
          <t>2026-05-22</t>
        </is>
      </c>
      <c r="M36" s="2" t="n">
        <v>488.5</v>
      </c>
      <c r="N36" s="2" t="n">
        <v>992632</v>
      </c>
      <c r="O36" s="2" t="n">
        <v>0</v>
      </c>
      <c r="P36" t="inlineStr">
        <is>
          <t>마1-12</t>
        </is>
      </c>
    </row>
    <row r="37">
      <c r="A37" t="n">
        <v>36</v>
      </c>
      <c r="B37" t="inlineStr">
        <is>
          <t>보급</t>
        </is>
      </c>
      <c r="C37" t="inlineStr">
        <is>
          <t>펙수클루정40밀리그램</t>
        </is>
      </c>
      <c r="D37" t="inlineStr">
        <is>
          <t>641607630</t>
        </is>
      </c>
      <c r="E37" t="inlineStr">
        <is>
          <t>(주)대웅제약</t>
        </is>
      </c>
      <c r="F37" t="inlineStr">
        <is>
          <t>1정</t>
        </is>
      </c>
      <c r="G37" s="2" t="n">
        <v>901</v>
      </c>
      <c r="H37" s="2" t="n">
        <v>3931</v>
      </c>
      <c r="I37" s="2" t="n">
        <v>50</v>
      </c>
      <c r="J37" s="2" t="n">
        <v>3541831</v>
      </c>
      <c r="K37" t="inlineStr">
        <is>
          <t>2026-05-04</t>
        </is>
      </c>
      <c r="L37" t="inlineStr">
        <is>
          <t>2026-05-22</t>
        </is>
      </c>
      <c r="M37" s="2" t="n">
        <v>568</v>
      </c>
      <c r="N37" s="2" t="n">
        <v>511768</v>
      </c>
      <c r="O37" s="2" t="n">
        <v>0</v>
      </c>
      <c r="P37" t="inlineStr">
        <is>
          <t>마01-5</t>
        </is>
      </c>
    </row>
    <row r="38">
      <c r="A38" t="n">
        <v>37</v>
      </c>
      <c r="B38" t="inlineStr">
        <is>
          <t>보급</t>
        </is>
      </c>
      <c r="C38" t="inlineStr">
        <is>
          <t>이지산트정10/20밀리그램</t>
        </is>
      </c>
      <c r="D38" t="inlineStr">
        <is>
          <t>641906340</t>
        </is>
      </c>
      <c r="E38" t="inlineStr">
        <is>
          <t>(주)보령</t>
        </is>
      </c>
      <c r="F38" t="inlineStr">
        <is>
          <t>1정</t>
        </is>
      </c>
      <c r="G38" s="2" t="n">
        <v>1074</v>
      </c>
      <c r="H38" s="2" t="n">
        <v>3189</v>
      </c>
      <c r="I38" s="2" t="n">
        <v>28</v>
      </c>
      <c r="J38" s="2" t="n">
        <v>3424986</v>
      </c>
      <c r="K38" t="inlineStr">
        <is>
          <t>2026-05-04</t>
        </is>
      </c>
      <c r="L38" t="inlineStr">
        <is>
          <t>2026-05-22</t>
        </is>
      </c>
      <c r="M38" s="2" t="n">
        <v>898</v>
      </c>
      <c r="N38" s="2" t="n">
        <v>964452</v>
      </c>
      <c r="O38" s="2" t="n">
        <v>0</v>
      </c>
      <c r="P38" t="inlineStr">
        <is>
          <t>이지산트장</t>
        </is>
      </c>
    </row>
    <row r="39">
      <c r="A39" t="n">
        <v>38</v>
      </c>
      <c r="B39" t="inlineStr">
        <is>
          <t>보급</t>
        </is>
      </c>
      <c r="C39" t="inlineStr">
        <is>
          <t>딜라트렌에스알캡슐16밀리그램</t>
        </is>
      </c>
      <c r="D39" t="inlineStr">
        <is>
          <t>643306410</t>
        </is>
      </c>
      <c r="E39" t="inlineStr">
        <is>
          <t>(주)종근당</t>
        </is>
      </c>
      <c r="F39" t="inlineStr">
        <is>
          <t>1캡슐</t>
        </is>
      </c>
      <c r="G39" s="2" t="n">
        <v>543</v>
      </c>
      <c r="H39" s="2" t="n">
        <v>6108</v>
      </c>
      <c r="I39" s="2" t="n">
        <v>65</v>
      </c>
      <c r="J39" s="2" t="n">
        <v>3316684</v>
      </c>
      <c r="K39" t="inlineStr">
        <is>
          <t>2026-05-02</t>
        </is>
      </c>
      <c r="L39" t="inlineStr">
        <is>
          <t>2026-05-22</t>
        </is>
      </c>
      <c r="M39" s="2" t="n">
        <v>360</v>
      </c>
      <c r="N39" s="2" t="n">
        <v>195480</v>
      </c>
      <c r="O39" s="2" t="n">
        <v>0</v>
      </c>
      <c r="P39" t="inlineStr">
        <is>
          <t>CH1-8</t>
        </is>
      </c>
    </row>
    <row r="40">
      <c r="A40" t="n">
        <v>39</v>
      </c>
      <c r="B40" t="inlineStr">
        <is>
          <t>보급</t>
        </is>
      </c>
      <c r="C40" t="inlineStr">
        <is>
          <t>프로피나정</t>
        </is>
      </c>
      <c r="D40" t="inlineStr">
        <is>
          <t>648504140</t>
        </is>
      </c>
      <c r="E40" t="inlineStr">
        <is>
          <t>신풍제약</t>
        </is>
      </c>
      <c r="F40" t="inlineStr">
        <is>
          <t>1정</t>
        </is>
      </c>
      <c r="G40" s="2" t="n">
        <v>728</v>
      </c>
      <c r="H40" s="2" t="n">
        <v>4520</v>
      </c>
      <c r="I40" s="2" t="n">
        <v>55</v>
      </c>
      <c r="J40" s="2" t="n">
        <v>3290560</v>
      </c>
      <c r="K40" t="inlineStr">
        <is>
          <t>2026-05-04</t>
        </is>
      </c>
      <c r="L40" t="inlineStr">
        <is>
          <t>2026-05-22</t>
        </is>
      </c>
      <c r="M40" s="2" t="n">
        <v>377</v>
      </c>
      <c r="N40" s="2" t="n">
        <v>274456</v>
      </c>
      <c r="O40" s="2" t="n">
        <v>0</v>
      </c>
      <c r="P40" t="inlineStr">
        <is>
          <t>A06-4</t>
        </is>
      </c>
    </row>
    <row r="41">
      <c r="A41" t="n">
        <v>40</v>
      </c>
      <c r="B41" t="inlineStr">
        <is>
          <t>보급</t>
        </is>
      </c>
      <c r="C41" t="inlineStr">
        <is>
          <t>놀텍정10밀리그램</t>
        </is>
      </c>
      <c r="D41" t="inlineStr">
        <is>
          <t>641702920</t>
        </is>
      </c>
      <c r="E41" t="inlineStr">
        <is>
          <t>일양약품</t>
        </is>
      </c>
      <c r="F41" t="inlineStr">
        <is>
          <t>1정</t>
        </is>
      </c>
      <c r="G41" s="2" t="n">
        <v>1071</v>
      </c>
      <c r="H41" s="2" t="n">
        <v>3072</v>
      </c>
      <c r="I41" s="2" t="n">
        <v>58</v>
      </c>
      <c r="J41" s="2" t="n">
        <v>3290112</v>
      </c>
      <c r="K41" t="inlineStr">
        <is>
          <t>2026-05-04</t>
        </is>
      </c>
      <c r="L41" t="inlineStr">
        <is>
          <t>2026-05-22</t>
        </is>
      </c>
      <c r="M41" s="2" t="n">
        <v>4272</v>
      </c>
      <c r="N41" s="2" t="n">
        <v>4575312</v>
      </c>
      <c r="O41" s="2" t="n">
        <v>0</v>
      </c>
      <c r="P41" t="inlineStr">
        <is>
          <t>A05-4</t>
        </is>
      </c>
    </row>
    <row r="42">
      <c r="A42" t="n">
        <v>41</v>
      </c>
      <c r="B42" t="inlineStr">
        <is>
          <t>보급</t>
        </is>
      </c>
      <c r="C42" t="inlineStr">
        <is>
          <t>뉴스타틴알정10밀리그램</t>
        </is>
      </c>
      <c r="D42" t="inlineStr">
        <is>
          <t>647803940</t>
        </is>
      </c>
      <c r="E42" t="inlineStr">
        <is>
          <t>삼진제약</t>
        </is>
      </c>
      <c r="F42" t="inlineStr">
        <is>
          <t>1정</t>
        </is>
      </c>
      <c r="G42" s="2" t="n">
        <v>585</v>
      </c>
      <c r="H42" s="2" t="n">
        <v>5427</v>
      </c>
      <c r="I42" s="2" t="n">
        <v>56</v>
      </c>
      <c r="J42" s="2" t="n">
        <v>3175089</v>
      </c>
      <c r="K42" t="inlineStr">
        <is>
          <t>2026-05-04</t>
        </is>
      </c>
      <c r="L42" t="inlineStr">
        <is>
          <t>2026-05-22</t>
        </is>
      </c>
      <c r="M42" s="2" t="n">
        <v>1036.5</v>
      </c>
      <c r="N42" s="2" t="n">
        <v>606353</v>
      </c>
      <c r="O42" s="2" t="n">
        <v>0</v>
      </c>
      <c r="P42" t="inlineStr">
        <is>
          <t>A01-4</t>
        </is>
      </c>
    </row>
    <row r="43">
      <c r="A43" t="n">
        <v>42</v>
      </c>
      <c r="B43" t="inlineStr">
        <is>
          <t>보급</t>
        </is>
      </c>
      <c r="C43" t="inlineStr">
        <is>
          <t>베아셉트정10밀리그램</t>
        </is>
      </c>
      <c r="D43" t="inlineStr">
        <is>
          <t>694001100</t>
        </is>
      </c>
      <c r="E43" t="inlineStr">
        <is>
          <t>대웅바이오</t>
        </is>
      </c>
      <c r="F43" t="inlineStr">
        <is>
          <t>1정</t>
        </is>
      </c>
      <c r="G43" s="2" t="n">
        <v>2213</v>
      </c>
      <c r="H43" s="2" t="n">
        <v>1427</v>
      </c>
      <c r="I43" s="2" t="n">
        <v>24</v>
      </c>
      <c r="J43" s="2" t="n">
        <v>3157951</v>
      </c>
      <c r="K43" t="inlineStr">
        <is>
          <t>2026-05-06</t>
        </is>
      </c>
      <c r="L43" t="inlineStr">
        <is>
          <t>2026-05-22</t>
        </is>
      </c>
      <c r="M43" s="2" t="n">
        <v>284</v>
      </c>
      <c r="N43" s="2" t="n">
        <v>628492</v>
      </c>
      <c r="O43" s="2" t="n">
        <v>0</v>
      </c>
      <c r="P43" t="inlineStr">
        <is>
          <t>A03-2</t>
        </is>
      </c>
    </row>
    <row r="44">
      <c r="A44" t="n">
        <v>43</v>
      </c>
      <c r="B44" t="inlineStr">
        <is>
          <t>비급</t>
        </is>
      </c>
      <c r="C44" t="inlineStr">
        <is>
          <t>시너지아정500mg</t>
        </is>
      </c>
      <c r="D44" t="inlineStr">
        <is>
          <t>2120857</t>
        </is>
      </c>
      <c r="F44" t="inlineStr">
        <is>
          <t>0</t>
        </is>
      </c>
      <c r="G44" s="2" t="n">
        <v>1260</v>
      </c>
      <c r="H44" s="2" t="n">
        <v>2441</v>
      </c>
      <c r="I44" s="2" t="n">
        <v>45</v>
      </c>
      <c r="J44" s="2" t="n">
        <v>3075660</v>
      </c>
      <c r="K44" t="inlineStr">
        <is>
          <t>2026-05-06</t>
        </is>
      </c>
      <c r="L44" t="inlineStr">
        <is>
          <t>2026-05-22</t>
        </is>
      </c>
      <c r="M44" s="2" t="n">
        <v>617</v>
      </c>
      <c r="N44" s="2" t="n">
        <v>647850</v>
      </c>
      <c r="O44" s="2" t="n">
        <v>0</v>
      </c>
      <c r="P44" t="inlineStr">
        <is>
          <t>A03-9</t>
        </is>
      </c>
    </row>
    <row r="45">
      <c r="A45" t="n">
        <v>44</v>
      </c>
      <c r="B45" t="inlineStr">
        <is>
          <t>보급</t>
        </is>
      </c>
      <c r="C45" t="inlineStr">
        <is>
          <t>리피로우정10밀리그램</t>
        </is>
      </c>
      <c r="D45" t="inlineStr">
        <is>
          <t>643304610</t>
        </is>
      </c>
      <c r="E45" t="inlineStr">
        <is>
          <t>(주)종근당</t>
        </is>
      </c>
      <c r="F45" t="inlineStr">
        <is>
          <t>1정</t>
        </is>
      </c>
      <c r="G45" s="2" t="n">
        <v>658</v>
      </c>
      <c r="H45" s="2" t="n">
        <v>4599</v>
      </c>
      <c r="I45" s="2" t="n">
        <v>57</v>
      </c>
      <c r="J45" s="2" t="n">
        <v>3026142</v>
      </c>
      <c r="K45" t="inlineStr">
        <is>
          <t>2026-05-04</t>
        </is>
      </c>
      <c r="L45" t="inlineStr">
        <is>
          <t>2026-05-22</t>
        </is>
      </c>
      <c r="M45" s="2" t="n">
        <v>1105</v>
      </c>
      <c r="N45" s="2" t="n">
        <v>727090</v>
      </c>
      <c r="O45" s="2" t="n">
        <v>0</v>
      </c>
      <c r="P45" t="inlineStr">
        <is>
          <t>A08-2</t>
        </is>
      </c>
    </row>
    <row r="46">
      <c r="A46" t="n">
        <v>45</v>
      </c>
      <c r="B46" t="inlineStr">
        <is>
          <t>보급</t>
        </is>
      </c>
      <c r="C46" t="inlineStr">
        <is>
          <t>비판티정2mg</t>
        </is>
      </c>
      <c r="D46" t="inlineStr">
        <is>
          <t>648501460</t>
        </is>
      </c>
      <c r="E46" t="inlineStr">
        <is>
          <t>신풍제약</t>
        </is>
      </c>
      <c r="F46" t="inlineStr">
        <is>
          <t>1정</t>
        </is>
      </c>
      <c r="G46" s="2" t="n">
        <v>355</v>
      </c>
      <c r="H46" s="2" t="n">
        <v>8158</v>
      </c>
      <c r="I46" s="2" t="n">
        <v>65</v>
      </c>
      <c r="J46" s="2" t="n">
        <v>2896090</v>
      </c>
      <c r="K46" t="inlineStr">
        <is>
          <t>2026-05-04</t>
        </is>
      </c>
      <c r="L46" t="inlineStr">
        <is>
          <t>2026-05-22</t>
        </is>
      </c>
      <c r="M46" s="2" t="n">
        <v>3253</v>
      </c>
      <c r="N46" s="2" t="n">
        <v>1154815</v>
      </c>
      <c r="O46" s="2" t="n">
        <v>0</v>
      </c>
      <c r="P46" t="inlineStr">
        <is>
          <t>바H01-8</t>
        </is>
      </c>
    </row>
  </sheetData>
  <autoFilter ref="A1:P4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3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6" customWidth="1" min="2" max="2"/>
    <col width="34" customWidth="1" min="3" max="3"/>
    <col width="12" customWidth="1" min="4" max="4"/>
    <col width="20" customWidth="1" min="5" max="5"/>
    <col width="9" customWidth="1" min="6" max="6"/>
    <col width="10" customWidth="1" min="7" max="7"/>
    <col width="12" customWidth="1" min="8" max="8"/>
    <col width="9" customWidth="1" min="9" max="9"/>
    <col width="13" customWidth="1" min="10" max="10"/>
    <col width="12" customWidth="1" min="11" max="11"/>
    <col width="12" customWidth="1" min="12" max="12"/>
    <col width="10" customWidth="1" min="13" max="13"/>
    <col width="12" customWidth="1" min="14" max="14"/>
    <col width="9" customWidth="1" min="15" max="15"/>
    <col width="14" customWidth="1" min="16" max="16"/>
  </cols>
  <sheetData>
    <row r="1">
      <c r="A1" s="1" t="inlineStr">
        <is>
          <t>순위</t>
        </is>
      </c>
      <c r="B1" s="1" t="inlineStr">
        <is>
          <t>급여</t>
        </is>
      </c>
      <c r="C1" s="1" t="inlineStr">
        <is>
          <t>약품명</t>
        </is>
      </c>
      <c r="D1" s="1" t="inlineStr">
        <is>
          <t>약품코드</t>
        </is>
      </c>
      <c r="E1" s="1" t="inlineStr">
        <is>
          <t>제약회사</t>
        </is>
      </c>
      <c r="F1" s="1" t="inlineStr">
        <is>
          <t>조제단위</t>
        </is>
      </c>
      <c r="G1" s="1" t="inlineStr">
        <is>
          <t>약품단가</t>
        </is>
      </c>
      <c r="H1" s="1" t="inlineStr">
        <is>
          <t>조제수량</t>
        </is>
      </c>
      <c r="I1" s="1" t="inlineStr">
        <is>
          <t>조제건수</t>
        </is>
      </c>
      <c r="J1" s="1" t="inlineStr">
        <is>
          <t>약가합계</t>
        </is>
      </c>
      <c r="K1" s="1" t="inlineStr">
        <is>
          <t>조제개시일</t>
        </is>
      </c>
      <c r="L1" s="1" t="inlineStr">
        <is>
          <t>최종조제일</t>
        </is>
      </c>
      <c r="M1" s="1" t="inlineStr">
        <is>
          <t>재고총량</t>
        </is>
      </c>
      <c r="N1" s="1" t="inlineStr">
        <is>
          <t>재고금액</t>
        </is>
      </c>
      <c r="O1" s="1" t="inlineStr">
        <is>
          <t>적정재고</t>
        </is>
      </c>
      <c r="P1" s="1" t="inlineStr">
        <is>
          <t>보관위치</t>
        </is>
      </c>
    </row>
    <row r="2">
      <c r="A2" t="n">
        <v>1</v>
      </c>
      <c r="B2" t="inlineStr">
        <is>
          <t>보급</t>
        </is>
      </c>
      <c r="C2" t="inlineStr">
        <is>
          <t>비리어드정</t>
        </is>
      </c>
      <c r="D2" t="inlineStr">
        <is>
          <t>625900040</t>
        </is>
      </c>
      <c r="E2" t="inlineStr">
        <is>
          <t>길리어드</t>
        </is>
      </c>
      <c r="F2" t="inlineStr">
        <is>
          <t>1정</t>
        </is>
      </c>
      <c r="G2" s="2" t="n">
        <v>2501</v>
      </c>
      <c r="H2" s="2" t="n">
        <v>3780</v>
      </c>
      <c r="I2" s="2" t="n">
        <v>43</v>
      </c>
      <c r="J2" s="2" t="n">
        <v>9453780</v>
      </c>
      <c r="K2" t="inlineStr">
        <is>
          <t>2026-07-21</t>
        </is>
      </c>
      <c r="L2" t="inlineStr">
        <is>
          <t>2026-08-20</t>
        </is>
      </c>
      <c r="M2" s="2" t="n">
        <v>1727</v>
      </c>
      <c r="N2" s="2" t="n">
        <v>4319227</v>
      </c>
      <c r="O2" s="2" t="n">
        <v>0</v>
      </c>
      <c r="P2" t="inlineStr">
        <is>
          <t>A08-2</t>
        </is>
      </c>
    </row>
    <row r="3">
      <c r="A3" t="n">
        <v>2</v>
      </c>
      <c r="B3" t="inlineStr">
        <is>
          <t>보급</t>
        </is>
      </c>
      <c r="C3" t="inlineStr">
        <is>
          <t>베아셉트정5밀리그램</t>
        </is>
      </c>
      <c r="D3" t="inlineStr">
        <is>
          <t>694001110</t>
        </is>
      </c>
      <c r="E3" t="inlineStr">
        <is>
          <t>대웅바이오</t>
        </is>
      </c>
      <c r="F3" t="inlineStr">
        <is>
          <t>1정</t>
        </is>
      </c>
      <c r="G3" s="2" t="n">
        <v>1855</v>
      </c>
      <c r="H3" s="2" t="n">
        <v>4376</v>
      </c>
      <c r="I3" s="2" t="n">
        <v>85</v>
      </c>
      <c r="J3" s="2" t="n">
        <v>8117480</v>
      </c>
      <c r="K3" t="inlineStr">
        <is>
          <t>2026-07-20</t>
        </is>
      </c>
      <c r="L3" t="inlineStr">
        <is>
          <t>2026-08-20</t>
        </is>
      </c>
      <c r="M3" s="2" t="n">
        <v>253.5</v>
      </c>
      <c r="N3" s="2" t="n">
        <v>470243</v>
      </c>
      <c r="O3" s="2" t="n">
        <v>0</v>
      </c>
      <c r="P3" t="inlineStr">
        <is>
          <t>A03-2</t>
        </is>
      </c>
    </row>
    <row r="4">
      <c r="A4" t="n">
        <v>3</v>
      </c>
      <c r="B4" t="inlineStr">
        <is>
          <t>보급</t>
        </is>
      </c>
      <c r="C4" t="inlineStr">
        <is>
          <t>엔트레스토필름코팅정50밀리그램</t>
        </is>
      </c>
      <c r="D4" t="inlineStr">
        <is>
          <t>653602720</t>
        </is>
      </c>
      <c r="E4" t="inlineStr">
        <is>
          <t>한국노바티스</t>
        </is>
      </c>
      <c r="F4" t="inlineStr">
        <is>
          <t>1정</t>
        </is>
      </c>
      <c r="G4" s="2" t="n">
        <v>1554</v>
      </c>
      <c r="H4" s="2" t="n">
        <v>4680.5</v>
      </c>
      <c r="I4" s="2" t="n">
        <v>51</v>
      </c>
      <c r="J4" s="2" t="n">
        <v>7273497</v>
      </c>
      <c r="K4" t="inlineStr">
        <is>
          <t>2026-07-20</t>
        </is>
      </c>
      <c r="L4" t="inlineStr">
        <is>
          <t>2026-08-20</t>
        </is>
      </c>
      <c r="M4" s="2" t="n">
        <v>808.5</v>
      </c>
      <c r="N4" s="2" t="n">
        <v>1256409</v>
      </c>
      <c r="O4" s="2" t="n">
        <v>0</v>
      </c>
      <c r="P4" t="inlineStr">
        <is>
          <t>OH03-1</t>
        </is>
      </c>
    </row>
    <row r="5">
      <c r="A5" t="n">
        <v>4</v>
      </c>
      <c r="B5" t="inlineStr">
        <is>
          <t>보급</t>
        </is>
      </c>
      <c r="C5" t="inlineStr">
        <is>
          <t>놀텍정10밀리그램</t>
        </is>
      </c>
      <c r="D5" t="inlineStr">
        <is>
          <t>641702920</t>
        </is>
      </c>
      <c r="E5" t="inlineStr">
        <is>
          <t>일양약품</t>
        </is>
      </c>
      <c r="F5" t="inlineStr">
        <is>
          <t>1정</t>
        </is>
      </c>
      <c r="G5" s="2" t="n">
        <v>1071</v>
      </c>
      <c r="H5" s="2" t="n">
        <v>4386</v>
      </c>
      <c r="I5" s="2" t="n">
        <v>89</v>
      </c>
      <c r="J5" s="2" t="n">
        <v>4697406</v>
      </c>
      <c r="K5" t="inlineStr">
        <is>
          <t>2026-07-20</t>
        </is>
      </c>
      <c r="L5" t="inlineStr">
        <is>
          <t>2026-08-20</t>
        </is>
      </c>
      <c r="M5" s="2" t="n">
        <v>1229</v>
      </c>
      <c r="N5" s="2" t="n">
        <v>1316259</v>
      </c>
      <c r="O5" s="2" t="n">
        <v>0</v>
      </c>
      <c r="P5" t="inlineStr">
        <is>
          <t>A05-4</t>
        </is>
      </c>
    </row>
    <row r="6">
      <c r="A6" t="n">
        <v>5</v>
      </c>
      <c r="B6" t="inlineStr">
        <is>
          <t>보급</t>
        </is>
      </c>
      <c r="C6" t="inlineStr">
        <is>
          <t>로수젯정10/10밀리그램</t>
        </is>
      </c>
      <c r="D6" t="inlineStr">
        <is>
          <t>643507260</t>
        </is>
      </c>
      <c r="E6" t="inlineStr">
        <is>
          <t>한미약품</t>
        </is>
      </c>
      <c r="F6" t="inlineStr">
        <is>
          <t>1정</t>
        </is>
      </c>
      <c r="G6" s="2" t="n">
        <v>1087</v>
      </c>
      <c r="H6" s="2" t="n">
        <v>4112</v>
      </c>
      <c r="I6" s="2" t="n">
        <v>47</v>
      </c>
      <c r="J6" s="2" t="n">
        <v>4469744</v>
      </c>
      <c r="K6" t="inlineStr">
        <is>
          <t>2026-07-20</t>
        </is>
      </c>
      <c r="L6" t="inlineStr">
        <is>
          <t>2026-08-20</t>
        </is>
      </c>
      <c r="M6" s="2" t="n">
        <v>2413</v>
      </c>
      <c r="N6" s="2" t="n">
        <v>2622931</v>
      </c>
      <c r="O6" s="2" t="n">
        <v>0</v>
      </c>
      <c r="P6" t="inlineStr">
        <is>
          <t>라01-5</t>
        </is>
      </c>
    </row>
    <row r="7">
      <c r="A7" t="n">
        <v>6</v>
      </c>
      <c r="B7" t="inlineStr">
        <is>
          <t>보급</t>
        </is>
      </c>
      <c r="C7" t="inlineStr">
        <is>
          <t>아토젯정10/10밀리그램</t>
        </is>
      </c>
      <c r="D7" t="inlineStr">
        <is>
          <t>073100410</t>
        </is>
      </c>
      <c r="E7" t="inlineStr">
        <is>
          <t>한국오가논</t>
        </is>
      </c>
      <c r="F7" t="inlineStr">
        <is>
          <t>1정</t>
        </is>
      </c>
      <c r="G7" s="2" t="n">
        <v>918</v>
      </c>
      <c r="H7" s="2" t="n">
        <v>4669</v>
      </c>
      <c r="I7" s="2" t="n">
        <v>55</v>
      </c>
      <c r="J7" s="2" t="n">
        <v>4286142</v>
      </c>
      <c r="K7" t="inlineStr">
        <is>
          <t>2026-07-20</t>
        </is>
      </c>
      <c r="L7" t="inlineStr">
        <is>
          <t>2026-08-19</t>
        </is>
      </c>
      <c r="M7" s="2" t="n">
        <v>1684</v>
      </c>
      <c r="N7" s="2" t="n">
        <v>1545912</v>
      </c>
      <c r="O7" s="2" t="n">
        <v>0</v>
      </c>
      <c r="P7" t="inlineStr">
        <is>
          <t>OH01-5</t>
        </is>
      </c>
    </row>
    <row r="8">
      <c r="A8" t="n">
        <v>7</v>
      </c>
      <c r="B8" t="inlineStr">
        <is>
          <t>보급</t>
        </is>
      </c>
      <c r="C8" t="inlineStr">
        <is>
          <t>제피토정10/10밀리그램</t>
        </is>
      </c>
      <c r="D8" t="inlineStr">
        <is>
          <t>640007710</t>
        </is>
      </c>
      <c r="E8" t="inlineStr">
        <is>
          <t>에이치케이이노엔</t>
        </is>
      </c>
      <c r="F8" t="inlineStr">
        <is>
          <t>1정</t>
        </is>
      </c>
      <c r="G8" s="2" t="n">
        <v>881</v>
      </c>
      <c r="H8" s="2" t="n">
        <v>4089</v>
      </c>
      <c r="I8" s="2" t="n">
        <v>54</v>
      </c>
      <c r="J8" s="2" t="n">
        <v>3602409</v>
      </c>
      <c r="K8" t="inlineStr">
        <is>
          <t>2026-07-20</t>
        </is>
      </c>
      <c r="L8" t="inlineStr">
        <is>
          <t>2026-08-20</t>
        </is>
      </c>
      <c r="M8" s="2" t="n">
        <v>1020</v>
      </c>
      <c r="N8" s="2" t="n">
        <v>898620</v>
      </c>
      <c r="O8" s="2" t="n">
        <v>0</v>
      </c>
      <c r="P8" t="inlineStr">
        <is>
          <t>자01-8</t>
        </is>
      </c>
    </row>
    <row r="9">
      <c r="A9" t="n">
        <v>8</v>
      </c>
      <c r="B9" t="inlineStr">
        <is>
          <t>보급</t>
        </is>
      </c>
      <c r="C9" t="inlineStr">
        <is>
          <t>레보발사정2.5/80밀리그램</t>
        </is>
      </c>
      <c r="D9" t="inlineStr">
        <is>
          <t>053601200</t>
        </is>
      </c>
      <c r="E9" t="inlineStr">
        <is>
          <t>안국뉴팜</t>
        </is>
      </c>
      <c r="F9" t="inlineStr">
        <is>
          <t>1정</t>
        </is>
      </c>
      <c r="G9" s="2" t="n">
        <v>800</v>
      </c>
      <c r="H9" s="2" t="n">
        <v>4298</v>
      </c>
      <c r="I9" s="2" t="n">
        <v>51</v>
      </c>
      <c r="J9" s="2" t="n">
        <v>3438400</v>
      </c>
      <c r="K9" t="inlineStr">
        <is>
          <t>2026-07-20</t>
        </is>
      </c>
      <c r="L9" t="inlineStr">
        <is>
          <t>2026-08-20</t>
        </is>
      </c>
      <c r="M9" s="2" t="n">
        <v>1125</v>
      </c>
      <c r="N9" s="2" t="n">
        <v>900000</v>
      </c>
      <c r="O9" s="2" t="n">
        <v>0</v>
      </c>
      <c r="P9" t="inlineStr">
        <is>
          <t>라01-6</t>
        </is>
      </c>
    </row>
    <row r="10">
      <c r="A10" t="n">
        <v>9</v>
      </c>
      <c r="B10" t="inlineStr">
        <is>
          <t>보급</t>
        </is>
      </c>
      <c r="C10" t="inlineStr">
        <is>
          <t>제미메트서방정50/1000밀리그램</t>
        </is>
      </c>
      <c r="D10" t="inlineStr">
        <is>
          <t>668902910</t>
        </is>
      </c>
      <c r="E10" t="inlineStr">
        <is>
          <t>(주)엘지화학</t>
        </is>
      </c>
      <c r="F10" t="inlineStr">
        <is>
          <t>1정</t>
        </is>
      </c>
      <c r="G10" s="2" t="n">
        <v>850</v>
      </c>
      <c r="H10" s="2" t="n">
        <v>3782</v>
      </c>
      <c r="I10" s="2" t="n">
        <v>46</v>
      </c>
      <c r="J10" s="2" t="n">
        <v>3214700</v>
      </c>
      <c r="K10" t="inlineStr">
        <is>
          <t>2026-07-20</t>
        </is>
      </c>
      <c r="L10" t="inlineStr">
        <is>
          <t>2026-08-20</t>
        </is>
      </c>
      <c r="M10" s="2" t="n">
        <v>3307</v>
      </c>
      <c r="N10" s="2" t="n">
        <v>2810950</v>
      </c>
      <c r="O10" s="2" t="n">
        <v>0</v>
      </c>
      <c r="P10" t="inlineStr">
        <is>
          <t>A01-9</t>
        </is>
      </c>
    </row>
    <row r="11">
      <c r="A11" t="n">
        <v>10</v>
      </c>
      <c r="B11" t="inlineStr">
        <is>
          <t>보급</t>
        </is>
      </c>
      <c r="C11" t="inlineStr">
        <is>
          <t>하루날디정0.2mg</t>
        </is>
      </c>
      <c r="D11" t="inlineStr">
        <is>
          <t>677200160</t>
        </is>
      </c>
      <c r="E11" t="inlineStr">
        <is>
          <t>한국아스텔라스</t>
        </is>
      </c>
      <c r="F11" t="inlineStr">
        <is>
          <t>1정</t>
        </is>
      </c>
      <c r="G11" s="2" t="n">
        <v>636</v>
      </c>
      <c r="H11" s="2" t="n">
        <v>4702</v>
      </c>
      <c r="I11" s="2" t="n">
        <v>44</v>
      </c>
      <c r="J11" s="2" t="n">
        <v>2990472</v>
      </c>
      <c r="K11" t="inlineStr">
        <is>
          <t>2026-07-20</t>
        </is>
      </c>
      <c r="L11" t="inlineStr">
        <is>
          <t>2026-08-20</t>
        </is>
      </c>
      <c r="M11" s="2" t="n">
        <v>1891</v>
      </c>
      <c r="N11" s="2" t="n">
        <v>1202676</v>
      </c>
      <c r="O11" s="2" t="n">
        <v>0</v>
      </c>
      <c r="P11" t="inlineStr">
        <is>
          <t>A06-3</t>
        </is>
      </c>
    </row>
    <row r="12">
      <c r="A12" t="n">
        <v>11</v>
      </c>
      <c r="B12" t="inlineStr">
        <is>
          <t>보급</t>
        </is>
      </c>
      <c r="C12" t="inlineStr">
        <is>
          <t>휴온스카로스현탁액</t>
        </is>
      </c>
      <c r="D12" t="inlineStr">
        <is>
          <t>670606111</t>
        </is>
      </c>
      <c r="E12" t="inlineStr">
        <is>
          <t>(주)휴온스</t>
        </is>
      </c>
      <c r="F12" t="inlineStr">
        <is>
          <t>20mL</t>
        </is>
      </c>
      <c r="G12" s="2" t="n">
        <v>696</v>
      </c>
      <c r="H12" s="2" t="n">
        <v>3799</v>
      </c>
      <c r="I12" s="2" t="n">
        <v>30</v>
      </c>
      <c r="J12" s="2" t="n">
        <v>2644104</v>
      </c>
      <c r="K12" t="inlineStr">
        <is>
          <t>2026-07-21</t>
        </is>
      </c>
      <c r="L12" t="inlineStr">
        <is>
          <t>2026-08-19</t>
        </is>
      </c>
      <c r="M12" s="2" t="n">
        <v>898</v>
      </c>
      <c r="N12" s="2" t="n">
        <v>625008</v>
      </c>
      <c r="O12" s="2" t="n">
        <v>0</v>
      </c>
      <c r="P12" t="inlineStr">
        <is>
          <t>B10-2</t>
        </is>
      </c>
    </row>
    <row r="13">
      <c r="A13" t="n">
        <v>12</v>
      </c>
      <c r="B13" t="inlineStr">
        <is>
          <t>보급</t>
        </is>
      </c>
      <c r="C13" t="inlineStr">
        <is>
          <t>엘리퀴스정5밀리그램</t>
        </is>
      </c>
      <c r="D13" t="inlineStr">
        <is>
          <t>658700560</t>
        </is>
      </c>
      <c r="E13" t="inlineStr">
        <is>
          <t>(유)한국비엠에스제약</t>
        </is>
      </c>
      <c r="F13" t="inlineStr">
        <is>
          <t>1정</t>
        </is>
      </c>
      <c r="G13" s="2" t="n">
        <v>570</v>
      </c>
      <c r="H13" s="2" t="n">
        <v>4330</v>
      </c>
      <c r="I13" s="2" t="n">
        <v>36</v>
      </c>
      <c r="J13" s="2" t="n">
        <v>2468100</v>
      </c>
      <c r="K13" t="inlineStr">
        <is>
          <t>2026-07-20</t>
        </is>
      </c>
      <c r="L13" t="inlineStr">
        <is>
          <t>2026-08-20</t>
        </is>
      </c>
      <c r="M13" s="2" t="n">
        <v>1004</v>
      </c>
      <c r="N13" s="2" t="n">
        <v>572280</v>
      </c>
      <c r="O13" s="2" t="n">
        <v>0</v>
      </c>
      <c r="P13" t="inlineStr">
        <is>
          <t>A01-9</t>
        </is>
      </c>
    </row>
    <row r="14">
      <c r="A14" t="n">
        <v>13</v>
      </c>
      <c r="B14" t="inlineStr">
        <is>
          <t>보급</t>
        </is>
      </c>
      <c r="C14" t="inlineStr">
        <is>
          <t>디쿠아스-에스점안액3%</t>
        </is>
      </c>
      <c r="D14" t="inlineStr">
        <is>
          <t>653301021</t>
        </is>
      </c>
      <c r="E14" t="inlineStr">
        <is>
          <t>타나베미쓰비시</t>
        </is>
      </c>
      <c r="F14" t="inlineStr">
        <is>
          <t>0.4mL</t>
        </is>
      </c>
      <c r="G14" s="2" t="n">
        <v>481</v>
      </c>
      <c r="H14" s="2" t="n">
        <v>4980</v>
      </c>
      <c r="I14" s="2" t="n">
        <v>43</v>
      </c>
      <c r="J14" s="2" t="n">
        <v>2395380</v>
      </c>
      <c r="K14" t="inlineStr">
        <is>
          <t>2026-07-20</t>
        </is>
      </c>
      <c r="L14" t="inlineStr">
        <is>
          <t>2026-08-20</t>
        </is>
      </c>
      <c r="M14" s="2" t="n">
        <v>480</v>
      </c>
      <c r="N14" s="2" t="n">
        <v>230880</v>
      </c>
      <c r="O14" s="2" t="n">
        <v>0</v>
      </c>
      <c r="P14" t="inlineStr">
        <is>
          <t>A10-1</t>
        </is>
      </c>
    </row>
    <row r="15">
      <c r="A15" t="n">
        <v>14</v>
      </c>
      <c r="B15" t="inlineStr">
        <is>
          <t>보급</t>
        </is>
      </c>
      <c r="C15" t="inlineStr">
        <is>
          <t>크레스토정10밀리그램</t>
        </is>
      </c>
      <c r="D15" t="inlineStr">
        <is>
          <t>650700520</t>
        </is>
      </c>
      <c r="E15" t="inlineStr">
        <is>
          <t>한국아스트라제네카</t>
        </is>
      </c>
      <c r="F15" t="inlineStr">
        <is>
          <t>1정</t>
        </is>
      </c>
      <c r="G15" s="2" t="n">
        <v>602</v>
      </c>
      <c r="H15" s="2" t="n">
        <v>3916</v>
      </c>
      <c r="I15" s="2" t="n">
        <v>39</v>
      </c>
      <c r="J15" s="2" t="n">
        <v>2357432</v>
      </c>
      <c r="K15" t="inlineStr">
        <is>
          <t>2026-07-20</t>
        </is>
      </c>
      <c r="L15" t="inlineStr">
        <is>
          <t>2026-08-20</t>
        </is>
      </c>
      <c r="M15" s="2" t="n">
        <v>1013</v>
      </c>
      <c r="N15" s="2" t="n">
        <v>609826</v>
      </c>
      <c r="O15" s="2" t="n">
        <v>0</v>
      </c>
      <c r="P15" t="inlineStr">
        <is>
          <t>가1-10</t>
        </is>
      </c>
    </row>
    <row r="16">
      <c r="A16" t="n">
        <v>15</v>
      </c>
      <c r="B16" t="inlineStr">
        <is>
          <t>보급</t>
        </is>
      </c>
      <c r="C16" t="inlineStr">
        <is>
          <t>카리메트과립</t>
        </is>
      </c>
      <c r="D16" t="inlineStr">
        <is>
          <t>652600384</t>
        </is>
      </c>
      <c r="E16" t="inlineStr">
        <is>
          <t>근화제약</t>
        </is>
      </c>
      <c r="F16" t="inlineStr">
        <is>
          <t>5g</t>
        </is>
      </c>
      <c r="G16" s="2" t="n">
        <v>600</v>
      </c>
      <c r="H16" s="2" t="n">
        <v>3905</v>
      </c>
      <c r="I16" s="2" t="n">
        <v>28</v>
      </c>
      <c r="J16" s="2" t="n">
        <v>2343000</v>
      </c>
      <c r="K16" t="inlineStr">
        <is>
          <t>2026-07-20</t>
        </is>
      </c>
      <c r="L16" t="inlineStr">
        <is>
          <t>2026-08-20</t>
        </is>
      </c>
      <c r="M16" s="2" t="n">
        <v>579</v>
      </c>
      <c r="N16" s="2" t="n">
        <v>347400</v>
      </c>
      <c r="O16" s="2" t="n">
        <v>0</v>
      </c>
      <c r="P16" t="inlineStr">
        <is>
          <t>B07-1</t>
        </is>
      </c>
    </row>
    <row r="17">
      <c r="A17" t="n">
        <v>16</v>
      </c>
      <c r="B17" t="inlineStr">
        <is>
          <t>보급</t>
        </is>
      </c>
      <c r="C17" t="inlineStr">
        <is>
          <t>리바로젯정2밀리그램</t>
        </is>
      </c>
      <c r="D17" t="inlineStr">
        <is>
          <t>644900800</t>
        </is>
      </c>
      <c r="E17" t="inlineStr">
        <is>
          <t>중외제약</t>
        </is>
      </c>
      <c r="F17" t="inlineStr">
        <is>
          <t>1정</t>
        </is>
      </c>
      <c r="G17" s="2" t="n">
        <v>547</v>
      </c>
      <c r="H17" s="2" t="n">
        <v>3755.5</v>
      </c>
      <c r="I17" s="2" t="n">
        <v>40</v>
      </c>
      <c r="J17" s="2" t="n">
        <v>2054259</v>
      </c>
      <c r="K17" t="inlineStr">
        <is>
          <t>2026-07-20</t>
        </is>
      </c>
      <c r="L17" t="inlineStr">
        <is>
          <t>2026-08-18</t>
        </is>
      </c>
      <c r="M17" s="2" t="n">
        <v>2014.5</v>
      </c>
      <c r="N17" s="2" t="n">
        <v>1101932</v>
      </c>
      <c r="O17" s="2" t="n">
        <v>0</v>
      </c>
      <c r="P17" t="inlineStr">
        <is>
          <t>라01-9</t>
        </is>
      </c>
    </row>
    <row r="18">
      <c r="A18" t="n">
        <v>17</v>
      </c>
      <c r="B18" t="inlineStr">
        <is>
          <t>보급</t>
        </is>
      </c>
      <c r="C18" t="inlineStr">
        <is>
          <t>트루다파정10밀리그램</t>
        </is>
      </c>
      <c r="D18" t="inlineStr">
        <is>
          <t>641907990</t>
        </is>
      </c>
      <c r="E18" t="inlineStr">
        <is>
          <t>(주)보령</t>
        </is>
      </c>
      <c r="F18" t="inlineStr">
        <is>
          <t>1정</t>
        </is>
      </c>
      <c r="G18" s="2" t="n">
        <v>393</v>
      </c>
      <c r="H18" s="2" t="n">
        <v>4976</v>
      </c>
      <c r="I18" s="2" t="n">
        <v>65</v>
      </c>
      <c r="J18" s="2" t="n">
        <v>1955568</v>
      </c>
      <c r="K18" t="inlineStr">
        <is>
          <t>2026-07-20</t>
        </is>
      </c>
      <c r="L18" t="inlineStr">
        <is>
          <t>2026-08-20</t>
        </is>
      </c>
      <c r="M18" s="2" t="n">
        <v>1345.5</v>
      </c>
      <c r="N18" s="2" t="n">
        <v>528782</v>
      </c>
      <c r="O18" s="2" t="n">
        <v>0</v>
      </c>
      <c r="P18" t="inlineStr">
        <is>
          <t>타01-9</t>
        </is>
      </c>
    </row>
    <row r="19">
      <c r="A19" t="n">
        <v>18</v>
      </c>
      <c r="B19" t="inlineStr">
        <is>
          <t>보급</t>
        </is>
      </c>
      <c r="C19" t="inlineStr">
        <is>
          <t>트루패스구강붕해정8밀리그램</t>
        </is>
      </c>
      <c r="D19" t="inlineStr">
        <is>
          <t>644913990</t>
        </is>
      </c>
      <c r="E19" t="inlineStr">
        <is>
          <t>(주)중외제약</t>
        </is>
      </c>
      <c r="F19" t="inlineStr">
        <is>
          <t>1정</t>
        </is>
      </c>
      <c r="G19" s="2" t="n">
        <v>386</v>
      </c>
      <c r="H19" s="2" t="n">
        <v>4680</v>
      </c>
      <c r="I19" s="2" t="n">
        <v>57</v>
      </c>
      <c r="J19" s="2" t="n">
        <v>1806480</v>
      </c>
      <c r="K19" t="inlineStr">
        <is>
          <t>2026-07-20</t>
        </is>
      </c>
      <c r="L19" t="inlineStr">
        <is>
          <t>2026-08-20</t>
        </is>
      </c>
      <c r="M19" s="2" t="n">
        <v>1863</v>
      </c>
      <c r="N19" s="2" t="n">
        <v>719118</v>
      </c>
      <c r="O19" s="2" t="n">
        <v>0</v>
      </c>
      <c r="P19" t="inlineStr">
        <is>
          <t>A06-3</t>
        </is>
      </c>
    </row>
    <row r="20">
      <c r="A20" t="n">
        <v>19</v>
      </c>
      <c r="B20" t="inlineStr">
        <is>
          <t>보급</t>
        </is>
      </c>
      <c r="C20" t="inlineStr">
        <is>
          <t>카나브정30밀리그램</t>
        </is>
      </c>
      <c r="D20" t="inlineStr">
        <is>
          <t>641905940</t>
        </is>
      </c>
      <c r="E20" t="inlineStr">
        <is>
          <t>(주)보령</t>
        </is>
      </c>
      <c r="F20" t="inlineStr">
        <is>
          <t>1정</t>
        </is>
      </c>
      <c r="G20" s="2" t="n">
        <v>439</v>
      </c>
      <c r="H20" s="2" t="n">
        <v>3986.5</v>
      </c>
      <c r="I20" s="2" t="n">
        <v>54</v>
      </c>
      <c r="J20" s="2" t="n">
        <v>1750074</v>
      </c>
      <c r="K20" t="inlineStr">
        <is>
          <t>2026-07-20</t>
        </is>
      </c>
      <c r="L20" t="inlineStr">
        <is>
          <t>2026-08-20</t>
        </is>
      </c>
      <c r="M20" s="2" t="n">
        <v>1709</v>
      </c>
      <c r="N20" s="2" t="n">
        <v>750251</v>
      </c>
      <c r="O20" s="2" t="n">
        <v>0</v>
      </c>
      <c r="P20" t="inlineStr">
        <is>
          <t>카01-2</t>
        </is>
      </c>
    </row>
    <row r="21">
      <c r="A21" t="n">
        <v>20</v>
      </c>
      <c r="B21" t="inlineStr">
        <is>
          <t>보급</t>
        </is>
      </c>
      <c r="C21" t="inlineStr">
        <is>
          <t>크레스토정5밀리그램</t>
        </is>
      </c>
      <c r="D21" t="inlineStr">
        <is>
          <t>650700540</t>
        </is>
      </c>
      <c r="E21" t="inlineStr">
        <is>
          <t>한국아스트라제네카</t>
        </is>
      </c>
      <c r="F21" t="inlineStr">
        <is>
          <t>1정</t>
        </is>
      </c>
      <c r="G21" s="2" t="n">
        <v>339</v>
      </c>
      <c r="H21" s="2" t="n">
        <v>4777</v>
      </c>
      <c r="I21" s="2" t="n">
        <v>42</v>
      </c>
      <c r="J21" s="2" t="n">
        <v>1619403</v>
      </c>
      <c r="K21" t="inlineStr">
        <is>
          <t>2026-07-20</t>
        </is>
      </c>
      <c r="L21" t="inlineStr">
        <is>
          <t>2026-08-19</t>
        </is>
      </c>
      <c r="M21" s="2" t="n">
        <v>826.5</v>
      </c>
      <c r="N21" s="2" t="n">
        <v>280184</v>
      </c>
      <c r="O21" s="2" t="n">
        <v>0</v>
      </c>
      <c r="P21" t="inlineStr">
        <is>
          <t>가01-9</t>
        </is>
      </c>
    </row>
    <row r="22">
      <c r="A22" t="n">
        <v>21</v>
      </c>
      <c r="B22" t="inlineStr">
        <is>
          <t>보급</t>
        </is>
      </c>
      <c r="C22" t="inlineStr">
        <is>
          <t>네오페뉴정145밀리그램</t>
        </is>
      </c>
      <c r="D22" t="inlineStr">
        <is>
          <t>643606020</t>
        </is>
      </c>
      <c r="E22" t="inlineStr">
        <is>
          <t>(주)녹십자</t>
        </is>
      </c>
      <c r="F22" t="inlineStr">
        <is>
          <t>1정</t>
        </is>
      </c>
      <c r="G22" s="2" t="n">
        <v>339</v>
      </c>
      <c r="H22" s="2" t="n">
        <v>4179</v>
      </c>
      <c r="I22" s="2" t="n">
        <v>46</v>
      </c>
      <c r="J22" s="2" t="n">
        <v>1416681</v>
      </c>
      <c r="K22" t="inlineStr">
        <is>
          <t>2026-07-20</t>
        </is>
      </c>
      <c r="L22" t="inlineStr">
        <is>
          <t>2026-08-20</t>
        </is>
      </c>
      <c r="M22" s="2" t="n">
        <v>565</v>
      </c>
      <c r="N22" s="2" t="n">
        <v>191535</v>
      </c>
      <c r="O22" s="2" t="n">
        <v>0</v>
      </c>
      <c r="P22" t="inlineStr">
        <is>
          <t>나01-6</t>
        </is>
      </c>
    </row>
    <row r="23">
      <c r="A23" t="n">
        <v>22</v>
      </c>
      <c r="B23" t="inlineStr">
        <is>
          <t>보급</t>
        </is>
      </c>
      <c r="C23" t="inlineStr">
        <is>
          <t>브로낙점안액</t>
        </is>
      </c>
      <c r="D23" t="inlineStr">
        <is>
          <t>650103071</t>
        </is>
      </c>
      <c r="E23" t="inlineStr">
        <is>
          <t>(주)태준제약</t>
        </is>
      </c>
      <c r="F23" t="inlineStr">
        <is>
          <t>0.5mL</t>
        </is>
      </c>
      <c r="G23" s="2" t="n">
        <v>366</v>
      </c>
      <c r="H23" s="2" t="n">
        <v>3750</v>
      </c>
      <c r="I23" s="2" t="n">
        <v>53</v>
      </c>
      <c r="J23" s="2" t="n">
        <v>1372500</v>
      </c>
      <c r="K23" t="inlineStr">
        <is>
          <t>2026-07-20</t>
        </is>
      </c>
      <c r="L23" t="inlineStr">
        <is>
          <t>2026-08-20</t>
        </is>
      </c>
      <c r="M23" s="2" t="n">
        <v>0</v>
      </c>
      <c r="N23" s="2" t="n">
        <v>0</v>
      </c>
      <c r="O23" s="2" t="n">
        <v>600</v>
      </c>
      <c r="P23" t="inlineStr">
        <is>
          <t>A09-2</t>
        </is>
      </c>
    </row>
    <row r="24">
      <c r="A24" t="n">
        <v>23</v>
      </c>
      <c r="B24" t="inlineStr">
        <is>
          <t>보급</t>
        </is>
      </c>
      <c r="C24" t="inlineStr">
        <is>
          <t>로바젯정10/20밀리그램</t>
        </is>
      </c>
      <c r="D24" t="inlineStr">
        <is>
          <t>640006970</t>
        </is>
      </c>
      <c r="E24" t="inlineStr">
        <is>
          <t>에이치케이이노엔</t>
        </is>
      </c>
      <c r="F24" t="inlineStr">
        <is>
          <t>1정</t>
        </is>
      </c>
      <c r="G24" s="2" t="n">
        <v>1134</v>
      </c>
      <c r="H24" s="2" t="n">
        <v>1161</v>
      </c>
      <c r="I24" s="2" t="n">
        <v>14</v>
      </c>
      <c r="J24" s="2" t="n">
        <v>1316574</v>
      </c>
      <c r="K24" t="inlineStr">
        <is>
          <t>2026-07-20</t>
        </is>
      </c>
      <c r="L24" t="inlineStr">
        <is>
          <t>2026-08-20</t>
        </is>
      </c>
      <c r="M24" s="2" t="n">
        <v>944</v>
      </c>
      <c r="N24" s="2" t="n">
        <v>1070496</v>
      </c>
      <c r="O24" s="2" t="n">
        <v>0</v>
      </c>
      <c r="P24" t="inlineStr">
        <is>
          <t>A07-7</t>
        </is>
      </c>
    </row>
    <row r="25">
      <c r="A25" t="n">
        <v>24</v>
      </c>
      <c r="B25" t="inlineStr">
        <is>
          <t>보급</t>
        </is>
      </c>
      <c r="C25" t="inlineStr">
        <is>
          <t>넥시옴정20밀리그램</t>
        </is>
      </c>
      <c r="D25" t="inlineStr">
        <is>
          <t>650700070</t>
        </is>
      </c>
      <c r="E25" t="inlineStr">
        <is>
          <t>한국아스트라제네카</t>
        </is>
      </c>
      <c r="F25" t="inlineStr">
        <is>
          <t>1정</t>
        </is>
      </c>
      <c r="G25" s="2" t="n">
        <v>717</v>
      </c>
      <c r="H25" s="2" t="n">
        <v>1814</v>
      </c>
      <c r="I25" s="2" t="n">
        <v>41</v>
      </c>
      <c r="J25" s="2" t="n">
        <v>1300638</v>
      </c>
      <c r="K25" t="inlineStr">
        <is>
          <t>2026-07-20</t>
        </is>
      </c>
      <c r="L25" t="inlineStr">
        <is>
          <t>2026-08-20</t>
        </is>
      </c>
      <c r="M25" s="2" t="n">
        <v>774</v>
      </c>
      <c r="N25" s="2" t="n">
        <v>554958</v>
      </c>
      <c r="O25" s="2" t="n">
        <v>0</v>
      </c>
      <c r="P25" t="inlineStr">
        <is>
          <t>A05-2</t>
        </is>
      </c>
    </row>
    <row r="26">
      <c r="A26" t="n">
        <v>25</v>
      </c>
      <c r="B26" t="inlineStr">
        <is>
          <t>보백</t>
        </is>
      </c>
      <c r="C26" t="inlineStr">
        <is>
          <t>칼시오연질캡슐0.25마이크로그램</t>
        </is>
      </c>
      <c r="D26" t="inlineStr">
        <is>
          <t>643502430</t>
        </is>
      </c>
      <c r="E26" t="inlineStr">
        <is>
          <t>한미약품</t>
        </is>
      </c>
      <c r="F26" t="inlineStr">
        <is>
          <t>1캡슐</t>
        </is>
      </c>
      <c r="G26" s="2" t="n">
        <v>241</v>
      </c>
      <c r="H26" s="2" t="n">
        <v>5378</v>
      </c>
      <c r="I26" s="2" t="n">
        <v>68</v>
      </c>
      <c r="J26" s="2" t="n">
        <v>1296098</v>
      </c>
      <c r="K26" t="inlineStr">
        <is>
          <t>2026-07-20</t>
        </is>
      </c>
      <c r="L26" t="inlineStr">
        <is>
          <t>2026-08-20</t>
        </is>
      </c>
      <c r="M26" s="2" t="n">
        <v>968</v>
      </c>
      <c r="N26" s="2" t="n">
        <v>233288</v>
      </c>
      <c r="O26" s="2" t="n">
        <v>0</v>
      </c>
      <c r="P26" t="inlineStr">
        <is>
          <t>카01-7</t>
        </is>
      </c>
    </row>
    <row r="27">
      <c r="A27" t="n">
        <v>26</v>
      </c>
      <c r="B27" t="inlineStr">
        <is>
          <t>보급</t>
        </is>
      </c>
      <c r="C27" t="inlineStr">
        <is>
          <t>노바스크정5밀리그램</t>
        </is>
      </c>
      <c r="D27" t="inlineStr">
        <is>
          <t>073400360</t>
        </is>
      </c>
      <c r="E27" t="inlineStr">
        <is>
          <t>비아트리스</t>
        </is>
      </c>
      <c r="F27" t="inlineStr">
        <is>
          <t>1정</t>
        </is>
      </c>
      <c r="G27" s="2" t="n">
        <v>358</v>
      </c>
      <c r="H27" s="2" t="n">
        <v>3601</v>
      </c>
      <c r="I27" s="2" t="n">
        <v>46</v>
      </c>
      <c r="J27" s="2" t="n">
        <v>1289158</v>
      </c>
      <c r="K27" t="inlineStr">
        <is>
          <t>2026-07-20</t>
        </is>
      </c>
      <c r="L27" t="inlineStr">
        <is>
          <t>2026-08-20</t>
        </is>
      </c>
      <c r="M27" s="2" t="n">
        <v>4806.5</v>
      </c>
      <c r="N27" s="2" t="n">
        <v>1720727</v>
      </c>
      <c r="O27" s="2" t="n">
        <v>2000</v>
      </c>
      <c r="P27" t="inlineStr">
        <is>
          <t>나01-5</t>
        </is>
      </c>
    </row>
    <row r="28">
      <c r="A28" t="n">
        <v>27</v>
      </c>
      <c r="B28" t="inlineStr">
        <is>
          <t>보급</t>
        </is>
      </c>
      <c r="C28" t="inlineStr">
        <is>
          <t>제이트롤현탁액</t>
        </is>
      </c>
      <c r="D28" t="inlineStr">
        <is>
          <t>644913633</t>
        </is>
      </c>
      <c r="E28" t="inlineStr">
        <is>
          <t>(주)중외제약</t>
        </is>
      </c>
      <c r="F28" t="inlineStr">
        <is>
          <t>20mL</t>
        </is>
      </c>
      <c r="G28" s="2" t="n">
        <v>3162</v>
      </c>
      <c r="H28" s="2" t="n">
        <v>403</v>
      </c>
      <c r="I28" s="2" t="n">
        <v>26</v>
      </c>
      <c r="J28" s="2" t="n">
        <v>1274286</v>
      </c>
      <c r="K28" t="inlineStr">
        <is>
          <t>2026-07-22</t>
        </is>
      </c>
      <c r="L28" t="inlineStr">
        <is>
          <t>2026-08-20</t>
        </is>
      </c>
      <c r="M28" s="2" t="n">
        <v>118</v>
      </c>
      <c r="N28" s="2" t="n">
        <v>373116</v>
      </c>
      <c r="O28" s="2" t="n">
        <v>0</v>
      </c>
      <c r="P28" t="inlineStr">
        <is>
          <t>B14-2</t>
        </is>
      </c>
    </row>
    <row r="29">
      <c r="A29" t="n">
        <v>28</v>
      </c>
      <c r="B29" t="inlineStr">
        <is>
          <t>보급</t>
        </is>
      </c>
      <c r="C29" t="inlineStr">
        <is>
          <t>엑소닌정</t>
        </is>
      </c>
      <c r="D29" t="inlineStr">
        <is>
          <t>644701750</t>
        </is>
      </c>
      <c r="E29" t="inlineStr">
        <is>
          <t>SK케미칼</t>
        </is>
      </c>
      <c r="F29" t="inlineStr">
        <is>
          <t>1정</t>
        </is>
      </c>
      <c r="G29" s="2" t="n">
        <v>98</v>
      </c>
      <c r="H29" s="2" t="n">
        <v>12930</v>
      </c>
      <c r="I29" s="2" t="n">
        <v>184</v>
      </c>
      <c r="J29" s="2" t="n">
        <v>1267140</v>
      </c>
      <c r="K29" t="inlineStr">
        <is>
          <t>2026-07-20</t>
        </is>
      </c>
      <c r="L29" t="inlineStr">
        <is>
          <t>2026-08-20</t>
        </is>
      </c>
      <c r="M29" s="2" t="n">
        <v>12121</v>
      </c>
      <c r="N29" s="2" t="n">
        <v>1187858</v>
      </c>
      <c r="O29" s="2" t="n">
        <v>0</v>
      </c>
      <c r="P29" t="inlineStr">
        <is>
          <t>아02-6</t>
        </is>
      </c>
    </row>
    <row r="30">
      <c r="A30" t="n">
        <v>29</v>
      </c>
      <c r="B30" t="inlineStr">
        <is>
          <t>보급</t>
        </is>
      </c>
      <c r="C30" t="inlineStr">
        <is>
          <t>트루바디정10/30밀리그램</t>
        </is>
      </c>
      <c r="D30" t="inlineStr">
        <is>
          <t>641908100</t>
        </is>
      </c>
      <c r="E30" t="inlineStr">
        <is>
          <t>(주)보령</t>
        </is>
      </c>
      <c r="F30" t="inlineStr">
        <is>
          <t>1정</t>
        </is>
      </c>
      <c r="G30" s="2" t="n">
        <v>1328</v>
      </c>
      <c r="H30" s="2" t="n">
        <v>949</v>
      </c>
      <c r="I30" s="2" t="n">
        <v>12</v>
      </c>
      <c r="J30" s="2" t="n">
        <v>1260272</v>
      </c>
      <c r="K30" t="inlineStr">
        <is>
          <t>2026-07-20</t>
        </is>
      </c>
      <c r="L30" t="inlineStr">
        <is>
          <t>2026-08-20</t>
        </is>
      </c>
      <c r="M30" s="2" t="n">
        <v>597</v>
      </c>
      <c r="N30" s="2" t="n">
        <v>792816</v>
      </c>
      <c r="O30" s="2" t="n">
        <v>0</v>
      </c>
      <c r="P30" t="inlineStr">
        <is>
          <t>타01-7</t>
        </is>
      </c>
    </row>
    <row r="31">
      <c r="A31" t="n">
        <v>30</v>
      </c>
      <c r="B31" t="inlineStr">
        <is>
          <t>보급</t>
        </is>
      </c>
      <c r="C31" t="inlineStr">
        <is>
          <t>올트라셋세미정</t>
        </is>
      </c>
      <c r="D31" t="inlineStr">
        <is>
          <t>646902640</t>
        </is>
      </c>
      <c r="E31" t="inlineStr">
        <is>
          <t>(주)한국오가논</t>
        </is>
      </c>
      <c r="F31" t="inlineStr">
        <is>
          <t>1정</t>
        </is>
      </c>
      <c r="G31" s="2" t="n">
        <v>125</v>
      </c>
      <c r="H31" s="2" t="n">
        <v>10071</v>
      </c>
      <c r="I31" s="2" t="n">
        <v>145</v>
      </c>
      <c r="J31" s="2" t="n">
        <v>1258875</v>
      </c>
      <c r="K31" t="inlineStr">
        <is>
          <t>2026-07-20</t>
        </is>
      </c>
      <c r="L31" t="inlineStr">
        <is>
          <t>2026-08-20</t>
        </is>
      </c>
      <c r="M31" s="2" t="n">
        <v>2036</v>
      </c>
      <c r="N31" s="2" t="n">
        <v>254500</v>
      </c>
      <c r="O31" s="2" t="n">
        <v>0</v>
      </c>
      <c r="P31" t="inlineStr">
        <is>
          <t>아03-9</t>
        </is>
      </c>
    </row>
    <row r="32">
      <c r="A32" t="n">
        <v>31</v>
      </c>
      <c r="B32" t="inlineStr">
        <is>
          <t>보급</t>
        </is>
      </c>
      <c r="C32" t="inlineStr">
        <is>
          <t>젤로다정500밀리그램</t>
        </is>
      </c>
      <c r="D32" t="inlineStr">
        <is>
          <t>641908110</t>
        </is>
      </c>
      <c r="E32" t="inlineStr">
        <is>
          <t>(주)보령</t>
        </is>
      </c>
      <c r="F32" t="inlineStr">
        <is>
          <t>1정</t>
        </is>
      </c>
      <c r="G32" s="2" t="n">
        <v>1871</v>
      </c>
      <c r="H32" s="2" t="n">
        <v>672</v>
      </c>
      <c r="I32" s="2" t="n">
        <v>9</v>
      </c>
      <c r="J32" s="2" t="n">
        <v>1257312</v>
      </c>
      <c r="K32" t="inlineStr">
        <is>
          <t>2026-07-20</t>
        </is>
      </c>
      <c r="L32" t="inlineStr">
        <is>
          <t>2026-08-12</t>
        </is>
      </c>
      <c r="M32" s="2" t="n">
        <v>372</v>
      </c>
      <c r="N32" s="2" t="n">
        <v>696012</v>
      </c>
      <c r="O32" s="2" t="n">
        <v>300</v>
      </c>
      <c r="P32" t="inlineStr">
        <is>
          <t>사2-11</t>
        </is>
      </c>
    </row>
    <row r="33">
      <c r="A33" t="n">
        <v>32</v>
      </c>
      <c r="B33" t="inlineStr">
        <is>
          <t>보급</t>
        </is>
      </c>
      <c r="C33" t="inlineStr">
        <is>
          <t>타프콤점안액</t>
        </is>
      </c>
      <c r="D33" t="inlineStr">
        <is>
          <t>665600131</t>
        </is>
      </c>
      <c r="E33" t="inlineStr">
        <is>
          <t>한국산텐제약</t>
        </is>
      </c>
      <c r="F33" t="inlineStr">
        <is>
          <t>2.5mL</t>
        </is>
      </c>
      <c r="G33" s="2" t="n">
        <v>19626</v>
      </c>
      <c r="H33" s="2" t="n">
        <v>64</v>
      </c>
      <c r="I33" s="2" t="n">
        <v>13</v>
      </c>
      <c r="J33" s="2" t="n">
        <v>1256064</v>
      </c>
      <c r="K33" t="inlineStr">
        <is>
          <t>2026-07-20</t>
        </is>
      </c>
      <c r="L33" t="inlineStr">
        <is>
          <t>2026-08-06</t>
        </is>
      </c>
      <c r="M33" s="2" t="n">
        <v>28</v>
      </c>
      <c r="N33" s="2" t="n">
        <v>549528</v>
      </c>
      <c r="O33" s="2" t="n">
        <v>0</v>
      </c>
      <c r="P33" t="inlineStr">
        <is>
          <t>A10-2</t>
        </is>
      </c>
    </row>
    <row r="34">
      <c r="A34" t="n">
        <v>33</v>
      </c>
      <c r="B34" t="inlineStr">
        <is>
          <t>보급</t>
        </is>
      </c>
      <c r="C34" t="inlineStr">
        <is>
          <t>렉사프로정10밀리그램</t>
        </is>
      </c>
      <c r="D34" t="inlineStr">
        <is>
          <t>668000020</t>
        </is>
      </c>
      <c r="E34" t="inlineStr">
        <is>
          <t>한국룬드벡</t>
        </is>
      </c>
      <c r="F34" t="inlineStr">
        <is>
          <t>1정</t>
        </is>
      </c>
      <c r="G34" s="2" t="n">
        <v>575</v>
      </c>
      <c r="H34" s="2" t="n">
        <v>2161.5</v>
      </c>
      <c r="I34" s="2" t="n">
        <v>6</v>
      </c>
      <c r="J34" s="2" t="n">
        <v>1242864</v>
      </c>
      <c r="K34" t="inlineStr">
        <is>
          <t>2026-07-20</t>
        </is>
      </c>
      <c r="L34" t="inlineStr">
        <is>
          <t>2026-08-19</t>
        </is>
      </c>
      <c r="M34" s="2" t="n">
        <v>450</v>
      </c>
      <c r="N34" s="2" t="n">
        <v>258750</v>
      </c>
      <c r="O34" s="2" t="n">
        <v>0</v>
      </c>
      <c r="P34" t="inlineStr">
        <is>
          <t>라1-11</t>
        </is>
      </c>
    </row>
    <row r="35">
      <c r="A35" t="n">
        <v>34</v>
      </c>
      <c r="B35" t="inlineStr">
        <is>
          <t>보급</t>
        </is>
      </c>
      <c r="C35" t="inlineStr">
        <is>
          <t>엘리퀴스정2.5밀리그램</t>
        </is>
      </c>
      <c r="D35" t="inlineStr">
        <is>
          <t>658700520</t>
        </is>
      </c>
      <c r="E35" t="inlineStr">
        <is>
          <t>(유)한국비엠에스제약</t>
        </is>
      </c>
      <c r="F35" t="inlineStr">
        <is>
          <t>1정</t>
        </is>
      </c>
      <c r="G35" s="2" t="n">
        <v>570</v>
      </c>
      <c r="H35" s="2" t="n">
        <v>2175</v>
      </c>
      <c r="I35" s="2" t="n">
        <v>17</v>
      </c>
      <c r="J35" s="2" t="n">
        <v>1239750</v>
      </c>
      <c r="K35" t="inlineStr">
        <is>
          <t>2026-07-20</t>
        </is>
      </c>
      <c r="L35" t="inlineStr">
        <is>
          <t>2026-08-20</t>
        </is>
      </c>
      <c r="M35" s="2" t="n">
        <v>929</v>
      </c>
      <c r="N35" s="2" t="n">
        <v>529530</v>
      </c>
      <c r="O35" s="2" t="n">
        <v>0</v>
      </c>
      <c r="P35" t="inlineStr">
        <is>
          <t>A01-9</t>
        </is>
      </c>
    </row>
    <row r="36">
      <c r="A36" t="n">
        <v>35</v>
      </c>
      <c r="B36" t="inlineStr">
        <is>
          <t>보급</t>
        </is>
      </c>
      <c r="C36" t="inlineStr">
        <is>
          <t>안드로젝정</t>
        </is>
      </c>
      <c r="D36" t="inlineStr">
        <is>
          <t>674900620</t>
        </is>
      </c>
      <c r="E36" t="inlineStr">
        <is>
          <t>한국메나리니</t>
        </is>
      </c>
      <c r="F36" t="inlineStr">
        <is>
          <t>1정</t>
        </is>
      </c>
      <c r="G36" s="2" t="n">
        <v>779</v>
      </c>
      <c r="H36" s="2" t="n">
        <v>1587</v>
      </c>
      <c r="I36" s="2" t="n">
        <v>6</v>
      </c>
      <c r="J36" s="2" t="n">
        <v>1236273</v>
      </c>
      <c r="K36" t="inlineStr">
        <is>
          <t>2026-07-20</t>
        </is>
      </c>
      <c r="L36" t="inlineStr">
        <is>
          <t>2026-08-04</t>
        </is>
      </c>
      <c r="M36" s="2" t="n">
        <v>801</v>
      </c>
      <c r="N36" s="2" t="n">
        <v>623979</v>
      </c>
      <c r="O36" s="2" t="n">
        <v>0</v>
      </c>
      <c r="P36" t="inlineStr">
        <is>
          <t>아1-10</t>
        </is>
      </c>
    </row>
    <row r="37">
      <c r="A37" t="n">
        <v>36</v>
      </c>
      <c r="B37" t="inlineStr">
        <is>
          <t>보급</t>
        </is>
      </c>
      <c r="C37" t="inlineStr">
        <is>
          <t>플라비톨정</t>
        </is>
      </c>
      <c r="D37" t="inlineStr">
        <is>
          <t>642503760</t>
        </is>
      </c>
      <c r="E37" t="inlineStr">
        <is>
          <t>동아제약</t>
        </is>
      </c>
      <c r="F37" t="inlineStr">
        <is>
          <t>1정</t>
        </is>
      </c>
      <c r="G37" s="2" t="n">
        <v>1137</v>
      </c>
      <c r="H37" s="2" t="n">
        <v>1083</v>
      </c>
      <c r="I37" s="2" t="n">
        <v>12</v>
      </c>
      <c r="J37" s="2" t="n">
        <v>1231371</v>
      </c>
      <c r="K37" t="inlineStr">
        <is>
          <t>2026-07-21</t>
        </is>
      </c>
      <c r="L37" t="inlineStr">
        <is>
          <t>2026-08-20</t>
        </is>
      </c>
      <c r="M37" s="2" t="n">
        <v>1766</v>
      </c>
      <c r="N37" s="2" t="n">
        <v>2007942</v>
      </c>
      <c r="O37" s="2" t="n">
        <v>0</v>
      </c>
      <c r="P37" t="inlineStr">
        <is>
          <t>파01-7</t>
        </is>
      </c>
    </row>
    <row r="38">
      <c r="A38" t="n">
        <v>37</v>
      </c>
      <c r="B38" t="inlineStr">
        <is>
          <t>보급</t>
        </is>
      </c>
      <c r="C38" t="inlineStr">
        <is>
          <t>조인스정200밀리그램</t>
        </is>
      </c>
      <c r="D38" t="inlineStr">
        <is>
          <t>644701930</t>
        </is>
      </c>
      <c r="E38" t="inlineStr">
        <is>
          <t>SK케미칼</t>
        </is>
      </c>
      <c r="F38" t="inlineStr">
        <is>
          <t>1정</t>
        </is>
      </c>
      <c r="G38" s="2" t="n">
        <v>390</v>
      </c>
      <c r="H38" s="2" t="n">
        <v>3143</v>
      </c>
      <c r="I38" s="2" t="n">
        <v>35</v>
      </c>
      <c r="J38" s="2" t="n">
        <v>1225770</v>
      </c>
      <c r="K38" t="inlineStr">
        <is>
          <t>2026-07-20</t>
        </is>
      </c>
      <c r="L38" t="inlineStr">
        <is>
          <t>2026-08-19</t>
        </is>
      </c>
      <c r="M38" s="2" t="n">
        <v>5563</v>
      </c>
      <c r="N38" s="2" t="n">
        <v>2169570</v>
      </c>
      <c r="O38" s="2" t="n">
        <v>0</v>
      </c>
      <c r="P38" t="inlineStr">
        <is>
          <t>사02-6</t>
        </is>
      </c>
    </row>
    <row r="39">
      <c r="A39" t="n">
        <v>38</v>
      </c>
      <c r="B39" t="inlineStr">
        <is>
          <t>보급</t>
        </is>
      </c>
      <c r="C39" t="inlineStr">
        <is>
          <t>마하칸정8/5밀리그램</t>
        </is>
      </c>
      <c r="D39" t="inlineStr">
        <is>
          <t>640007030</t>
        </is>
      </c>
      <c r="E39" t="inlineStr">
        <is>
          <t>에이치케이이노엔</t>
        </is>
      </c>
      <c r="F39" t="inlineStr">
        <is>
          <t>1정</t>
        </is>
      </c>
      <c r="G39" s="2" t="n">
        <v>655</v>
      </c>
      <c r="H39" s="2" t="n">
        <v>1870</v>
      </c>
      <c r="I39" s="2" t="n">
        <v>14</v>
      </c>
      <c r="J39" s="2" t="n">
        <v>1224850</v>
      </c>
      <c r="K39" t="inlineStr">
        <is>
          <t>2026-07-20</t>
        </is>
      </c>
      <c r="L39" t="inlineStr">
        <is>
          <t>2026-08-20</t>
        </is>
      </c>
      <c r="M39" s="2" t="n">
        <v>2887</v>
      </c>
      <c r="N39" s="2" t="n">
        <v>1890985</v>
      </c>
      <c r="O39" s="2" t="n">
        <v>0</v>
      </c>
      <c r="P39" t="inlineStr">
        <is>
          <t>A01-3</t>
        </is>
      </c>
    </row>
    <row r="40">
      <c r="A40" t="n">
        <v>39</v>
      </c>
      <c r="B40" t="inlineStr">
        <is>
          <t>보급</t>
        </is>
      </c>
      <c r="C40" t="inlineStr">
        <is>
          <t>크라비트점안액1.5%</t>
        </is>
      </c>
      <c r="D40" t="inlineStr">
        <is>
          <t>665600291</t>
        </is>
      </c>
      <c r="E40" t="inlineStr">
        <is>
          <t>한국산텐제약</t>
        </is>
      </c>
      <c r="F40" t="inlineStr">
        <is>
          <t>5mL</t>
        </is>
      </c>
      <c r="G40" s="2" t="n">
        <v>6584</v>
      </c>
      <c r="H40" s="2" t="n">
        <v>186</v>
      </c>
      <c r="I40" s="2" t="n">
        <v>71</v>
      </c>
      <c r="J40" s="2" t="n">
        <v>1224624</v>
      </c>
      <c r="K40" t="inlineStr">
        <is>
          <t>2026-07-20</t>
        </is>
      </c>
      <c r="L40" t="inlineStr">
        <is>
          <t>2026-08-20</t>
        </is>
      </c>
      <c r="M40" s="2" t="n">
        <v>106</v>
      </c>
      <c r="N40" s="2" t="n">
        <v>697904</v>
      </c>
      <c r="O40" s="2" t="n">
        <v>0</v>
      </c>
      <c r="P40" t="inlineStr">
        <is>
          <t>A10-3</t>
        </is>
      </c>
    </row>
    <row r="41">
      <c r="A41" t="n">
        <v>40</v>
      </c>
      <c r="B41" t="inlineStr">
        <is>
          <t>보급</t>
        </is>
      </c>
      <c r="C41" t="inlineStr">
        <is>
          <t>딜라트렌에스알정16밀리그램</t>
        </is>
      </c>
      <c r="D41" t="inlineStr">
        <is>
          <t>643308540</t>
        </is>
      </c>
      <c r="E41" t="inlineStr">
        <is>
          <t>(주)종근당</t>
        </is>
      </c>
      <c r="F41" t="inlineStr">
        <is>
          <t>1정</t>
        </is>
      </c>
      <c r="G41" s="2" t="n">
        <v>543</v>
      </c>
      <c r="H41" s="2" t="n">
        <v>2208</v>
      </c>
      <c r="I41" s="2" t="n">
        <v>22</v>
      </c>
      <c r="J41" s="2" t="n">
        <v>1198944</v>
      </c>
      <c r="K41" t="inlineStr">
        <is>
          <t>2026-08-12</t>
        </is>
      </c>
      <c r="L41" t="inlineStr">
        <is>
          <t>2026-08-20</t>
        </is>
      </c>
      <c r="M41" s="2" t="n">
        <v>1652</v>
      </c>
      <c r="N41" s="2" t="n">
        <v>897036</v>
      </c>
      <c r="O41" s="2" t="n">
        <v>0</v>
      </c>
    </row>
    <row r="42">
      <c r="A42" t="n">
        <v>41</v>
      </c>
      <c r="B42" t="inlineStr">
        <is>
          <t>보급</t>
        </is>
      </c>
      <c r="C42" t="inlineStr">
        <is>
          <t>테넬로드정20밀리그램</t>
        </is>
      </c>
      <c r="D42" t="inlineStr">
        <is>
          <t>694003900</t>
        </is>
      </c>
      <c r="E42" t="inlineStr">
        <is>
          <t>대웅바이오</t>
        </is>
      </c>
      <c r="F42" t="inlineStr">
        <is>
          <t>1정</t>
        </is>
      </c>
      <c r="G42" s="2" t="n">
        <v>665</v>
      </c>
      <c r="H42" s="2" t="n">
        <v>1757</v>
      </c>
      <c r="I42" s="2" t="n">
        <v>21</v>
      </c>
      <c r="J42" s="2" t="n">
        <v>1168405</v>
      </c>
      <c r="K42" t="inlineStr">
        <is>
          <t>2026-07-20</t>
        </is>
      </c>
      <c r="L42" t="inlineStr">
        <is>
          <t>2026-08-20</t>
        </is>
      </c>
      <c r="M42" s="2" t="n">
        <v>409</v>
      </c>
      <c r="N42" s="2" t="n">
        <v>271985</v>
      </c>
      <c r="O42" s="2" t="n">
        <v>0</v>
      </c>
      <c r="P42" t="inlineStr">
        <is>
          <t>B13-4</t>
        </is>
      </c>
    </row>
    <row r="43">
      <c r="A43" t="n">
        <v>42</v>
      </c>
      <c r="B43" t="inlineStr">
        <is>
          <t>보급</t>
        </is>
      </c>
      <c r="C43" t="inlineStr">
        <is>
          <t>자누메트엑스알서방정100/10</t>
        </is>
      </c>
      <c r="D43" t="inlineStr">
        <is>
          <t>655501800</t>
        </is>
      </c>
      <c r="E43" t="inlineStr">
        <is>
          <t>한국엠에스디</t>
        </is>
      </c>
      <c r="F43" t="inlineStr">
        <is>
          <t>1정</t>
        </is>
      </c>
      <c r="G43" s="2" t="n">
        <v>572</v>
      </c>
      <c r="H43" s="2" t="n">
        <v>2026</v>
      </c>
      <c r="I43" s="2" t="n">
        <v>24</v>
      </c>
      <c r="J43" s="2" t="n">
        <v>1158872</v>
      </c>
      <c r="K43" t="inlineStr">
        <is>
          <t>2026-07-20</t>
        </is>
      </c>
      <c r="L43" t="inlineStr">
        <is>
          <t>2026-08-18</t>
        </is>
      </c>
      <c r="M43" s="2" t="n">
        <v>-2366</v>
      </c>
      <c r="N43" s="2" t="n">
        <v>-1353352</v>
      </c>
      <c r="O43" s="2" t="n">
        <v>0</v>
      </c>
      <c r="P43" t="inlineStr">
        <is>
          <t>자01-2</t>
        </is>
      </c>
    </row>
    <row r="44">
      <c r="A44" t="n">
        <v>43</v>
      </c>
      <c r="B44" t="inlineStr">
        <is>
          <t>보급</t>
        </is>
      </c>
      <c r="C44" t="inlineStr">
        <is>
          <t>칸데모어플러스정16/12.5</t>
        </is>
      </c>
      <c r="D44" t="inlineStr">
        <is>
          <t>643305240</t>
        </is>
      </c>
      <c r="E44" t="inlineStr">
        <is>
          <t>종근당</t>
        </is>
      </c>
      <c r="F44" t="inlineStr">
        <is>
          <t>1정</t>
        </is>
      </c>
      <c r="G44" s="2" t="n">
        <v>725</v>
      </c>
      <c r="H44" s="2" t="n">
        <v>1585</v>
      </c>
      <c r="I44" s="2" t="n">
        <v>18</v>
      </c>
      <c r="J44" s="2" t="n">
        <v>1149125</v>
      </c>
      <c r="K44" t="inlineStr">
        <is>
          <t>2026-07-20</t>
        </is>
      </c>
      <c r="L44" t="inlineStr">
        <is>
          <t>2026-08-20</t>
        </is>
      </c>
      <c r="M44" s="2" t="n">
        <v>1086</v>
      </c>
      <c r="N44" s="2" t="n">
        <v>787350</v>
      </c>
      <c r="O44" s="2" t="n">
        <v>0</v>
      </c>
      <c r="P44" t="inlineStr">
        <is>
          <t>카01-4</t>
        </is>
      </c>
    </row>
    <row r="45">
      <c r="A45" t="n">
        <v>44</v>
      </c>
      <c r="B45" t="inlineStr">
        <is>
          <t>보급</t>
        </is>
      </c>
      <c r="C45" t="inlineStr">
        <is>
          <t>제미다파정</t>
        </is>
      </c>
      <c r="D45" t="inlineStr">
        <is>
          <t>668903320</t>
        </is>
      </c>
      <c r="E45" t="inlineStr">
        <is>
          <t>(주)엘지화학</t>
        </is>
      </c>
      <c r="F45" t="inlineStr">
        <is>
          <t>1정</t>
        </is>
      </c>
      <c r="G45" s="2" t="n">
        <v>940</v>
      </c>
      <c r="H45" s="2" t="n">
        <v>1216</v>
      </c>
      <c r="I45" s="2" t="n">
        <v>16</v>
      </c>
      <c r="J45" s="2" t="n">
        <v>1143040</v>
      </c>
      <c r="K45" t="inlineStr">
        <is>
          <t>2026-07-20</t>
        </is>
      </c>
      <c r="L45" t="inlineStr">
        <is>
          <t>2026-08-20</t>
        </is>
      </c>
      <c r="M45" s="2" t="n">
        <v>599</v>
      </c>
      <c r="N45" s="2" t="n">
        <v>563060</v>
      </c>
      <c r="O45" s="2" t="n">
        <v>280</v>
      </c>
      <c r="P45" t="inlineStr">
        <is>
          <t>사2-10</t>
        </is>
      </c>
    </row>
    <row r="46">
      <c r="A46" t="n">
        <v>45</v>
      </c>
      <c r="B46" t="inlineStr">
        <is>
          <t>비급</t>
        </is>
      </c>
      <c r="C46" t="inlineStr">
        <is>
          <t>유로렉스정</t>
        </is>
      </c>
      <c r="D46" t="inlineStr">
        <is>
          <t>2120761</t>
        </is>
      </c>
      <c r="F46" t="inlineStr">
        <is>
          <t>0</t>
        </is>
      </c>
      <c r="G46" s="2" t="n">
        <v>800</v>
      </c>
      <c r="H46" s="2" t="n">
        <v>1418</v>
      </c>
      <c r="I46" s="2" t="n">
        <v>10</v>
      </c>
      <c r="J46" s="2" t="n">
        <v>1134400</v>
      </c>
      <c r="K46" t="inlineStr">
        <is>
          <t>2026-07-20</t>
        </is>
      </c>
      <c r="L46" t="inlineStr">
        <is>
          <t>2026-08-19</t>
        </is>
      </c>
      <c r="M46" s="2" t="n">
        <v>951</v>
      </c>
      <c r="N46" s="2" t="n">
        <v>582963</v>
      </c>
      <c r="O46" s="2" t="n">
        <v>0</v>
      </c>
      <c r="P46" t="inlineStr">
        <is>
          <t>A2-11</t>
        </is>
      </c>
    </row>
    <row r="47">
      <c r="A47" t="n">
        <v>46</v>
      </c>
      <c r="B47" t="inlineStr">
        <is>
          <t>보급</t>
        </is>
      </c>
      <c r="C47" t="inlineStr">
        <is>
          <t>딜라트렌에스알캡슐32밀리그램</t>
        </is>
      </c>
      <c r="D47" t="inlineStr">
        <is>
          <t>643306420</t>
        </is>
      </c>
      <c r="E47" t="inlineStr">
        <is>
          <t>(주)종근당</t>
        </is>
      </c>
      <c r="F47" t="inlineStr">
        <is>
          <t>1캡슐</t>
        </is>
      </c>
      <c r="G47" s="2" t="n">
        <v>775</v>
      </c>
      <c r="H47" s="2" t="n">
        <v>1457</v>
      </c>
      <c r="I47" s="2" t="n">
        <v>16</v>
      </c>
      <c r="J47" s="2" t="n">
        <v>1129175</v>
      </c>
      <c r="K47" t="inlineStr">
        <is>
          <t>2026-07-20</t>
        </is>
      </c>
      <c r="L47" t="inlineStr">
        <is>
          <t>2026-08-10</t>
        </is>
      </c>
      <c r="M47" s="2" t="n">
        <v>3485</v>
      </c>
      <c r="N47" s="2" t="n">
        <v>2700875</v>
      </c>
      <c r="O47" s="2" t="n">
        <v>0</v>
      </c>
      <c r="P47" t="inlineStr">
        <is>
          <t>다01-5</t>
        </is>
      </c>
    </row>
    <row r="48">
      <c r="A48" t="n">
        <v>47</v>
      </c>
      <c r="B48" t="inlineStr">
        <is>
          <t>보급</t>
        </is>
      </c>
      <c r="C48" t="inlineStr">
        <is>
          <t>마하칸정16/5밀리그램</t>
        </is>
      </c>
      <c r="D48" t="inlineStr">
        <is>
          <t>640007020</t>
        </is>
      </c>
      <c r="E48" t="inlineStr">
        <is>
          <t>에이치케이이노엔</t>
        </is>
      </c>
      <c r="F48" t="inlineStr">
        <is>
          <t>1정</t>
        </is>
      </c>
      <c r="G48" s="2" t="n">
        <v>832</v>
      </c>
      <c r="H48" s="2" t="n">
        <v>1349</v>
      </c>
      <c r="I48" s="2" t="n">
        <v>12</v>
      </c>
      <c r="J48" s="2" t="n">
        <v>1122368</v>
      </c>
      <c r="K48" t="inlineStr">
        <is>
          <t>2026-07-20</t>
        </is>
      </c>
      <c r="L48" t="inlineStr">
        <is>
          <t>2026-08-19</t>
        </is>
      </c>
      <c r="M48" s="2" t="n">
        <v>849</v>
      </c>
      <c r="N48" s="2" t="n">
        <v>706368</v>
      </c>
      <c r="O48" s="2" t="n">
        <v>0</v>
      </c>
      <c r="P48" t="inlineStr">
        <is>
          <t>A01-3</t>
        </is>
      </c>
    </row>
    <row r="49">
      <c r="A49" t="n">
        <v>48</v>
      </c>
      <c r="B49" t="inlineStr">
        <is>
          <t>보급</t>
        </is>
      </c>
      <c r="C49" t="inlineStr">
        <is>
          <t>피레스파정600밀리그램</t>
        </is>
      </c>
      <c r="D49" t="inlineStr">
        <is>
          <t>670304300</t>
        </is>
      </c>
      <c r="E49" t="inlineStr">
        <is>
          <t>코오롱제약</t>
        </is>
      </c>
      <c r="F49" t="inlineStr">
        <is>
          <t>1정</t>
        </is>
      </c>
      <c r="G49" s="2" t="n">
        <v>4440</v>
      </c>
      <c r="H49" s="2" t="n">
        <v>252</v>
      </c>
      <c r="I49" s="2" t="n">
        <v>1</v>
      </c>
      <c r="J49" s="2" t="n">
        <v>1118880</v>
      </c>
      <c r="K49" t="inlineStr">
        <is>
          <t>2026-07-22</t>
        </is>
      </c>
      <c r="L49" t="inlineStr">
        <is>
          <t>2026-07-22</t>
        </is>
      </c>
      <c r="M49" s="2" t="n">
        <v>662</v>
      </c>
      <c r="N49" s="2" t="n">
        <v>2939280</v>
      </c>
      <c r="O49" s="2" t="n">
        <v>0</v>
      </c>
      <c r="P49" t="inlineStr">
        <is>
          <t>서랍4</t>
        </is>
      </c>
    </row>
    <row r="50">
      <c r="A50" t="n">
        <v>49</v>
      </c>
      <c r="B50" t="inlineStr">
        <is>
          <t>보급</t>
        </is>
      </c>
      <c r="C50" t="inlineStr">
        <is>
          <t>오젬픽프리필드펜</t>
        </is>
      </c>
      <c r="D50" t="inlineStr">
        <is>
          <t>654400651</t>
        </is>
      </c>
      <c r="E50" t="inlineStr">
        <is>
          <t>노보노디스크</t>
        </is>
      </c>
      <c r="F50" t="inlineStr">
        <is>
          <t>3mL</t>
        </is>
      </c>
      <c r="G50" s="2" t="n">
        <v>139703</v>
      </c>
      <c r="H50" s="2" t="n">
        <v>8</v>
      </c>
      <c r="I50" s="2" t="n">
        <v>3</v>
      </c>
      <c r="J50" s="2" t="n">
        <v>1117624</v>
      </c>
      <c r="K50" t="inlineStr">
        <is>
          <t>2026-08-04</t>
        </is>
      </c>
      <c r="L50" t="inlineStr">
        <is>
          <t>2026-08-12</t>
        </is>
      </c>
      <c r="M50" s="2" t="n">
        <v>3</v>
      </c>
      <c r="N50" s="2" t="n">
        <v>419109</v>
      </c>
      <c r="O50" s="2" t="n">
        <v>0</v>
      </c>
      <c r="P50" t="inlineStr">
        <is>
          <t>냉장고</t>
        </is>
      </c>
    </row>
    <row r="51">
      <c r="A51" t="n">
        <v>50</v>
      </c>
      <c r="B51" t="inlineStr">
        <is>
          <t>보급</t>
        </is>
      </c>
      <c r="C51" t="inlineStr">
        <is>
          <t>발사원정160밀리그램</t>
        </is>
      </c>
      <c r="D51" t="inlineStr">
        <is>
          <t>640006040</t>
        </is>
      </c>
      <c r="E51" t="inlineStr">
        <is>
          <t>에이치케이이노엔</t>
        </is>
      </c>
      <c r="F51" t="inlineStr">
        <is>
          <t>1정</t>
        </is>
      </c>
      <c r="G51" s="2" t="n">
        <v>781</v>
      </c>
      <c r="H51" s="2" t="n">
        <v>1426</v>
      </c>
      <c r="I51" s="2" t="n">
        <v>14</v>
      </c>
      <c r="J51" s="2" t="n">
        <v>1113706</v>
      </c>
      <c r="K51" t="inlineStr">
        <is>
          <t>2026-07-20</t>
        </is>
      </c>
      <c r="L51" t="inlineStr">
        <is>
          <t>2026-08-14</t>
        </is>
      </c>
      <c r="M51" s="2" t="n">
        <v>381</v>
      </c>
      <c r="N51" s="2" t="n">
        <v>297561</v>
      </c>
      <c r="O51" s="2" t="n">
        <v>0</v>
      </c>
      <c r="P51" t="inlineStr">
        <is>
          <t>바01-6</t>
        </is>
      </c>
    </row>
    <row r="52">
      <c r="A52" t="n">
        <v>51</v>
      </c>
      <c r="B52" t="inlineStr">
        <is>
          <t>보급</t>
        </is>
      </c>
      <c r="C52" t="inlineStr">
        <is>
          <t>듀카브정60/5밀리그램</t>
        </is>
      </c>
      <c r="D52" t="inlineStr">
        <is>
          <t>641906480</t>
        </is>
      </c>
      <c r="E52" t="inlineStr">
        <is>
          <t>(주)보령</t>
        </is>
      </c>
      <c r="F52" t="inlineStr">
        <is>
          <t>1정</t>
        </is>
      </c>
      <c r="G52" s="2" t="n">
        <v>755</v>
      </c>
      <c r="H52" s="2" t="n">
        <v>1475</v>
      </c>
      <c r="I52" s="2" t="n">
        <v>14</v>
      </c>
      <c r="J52" s="2" t="n">
        <v>1113625</v>
      </c>
      <c r="K52" t="inlineStr">
        <is>
          <t>2026-07-20</t>
        </is>
      </c>
      <c r="L52" t="inlineStr">
        <is>
          <t>2026-08-13</t>
        </is>
      </c>
      <c r="M52" s="2" t="n">
        <v>1773</v>
      </c>
      <c r="N52" s="2" t="n">
        <v>1338615</v>
      </c>
      <c r="O52" s="2" t="n">
        <v>0</v>
      </c>
      <c r="P52" t="inlineStr">
        <is>
          <t>다01-6</t>
        </is>
      </c>
    </row>
    <row r="53">
      <c r="A53" t="n">
        <v>52</v>
      </c>
      <c r="B53" t="inlineStr">
        <is>
          <t>보급</t>
        </is>
      </c>
      <c r="C53" t="inlineStr">
        <is>
          <t>아트맥퀸비엘연질캡슐10/100</t>
        </is>
      </c>
      <c r="D53" t="inlineStr">
        <is>
          <t>644309630</t>
        </is>
      </c>
      <c r="E53" t="inlineStr">
        <is>
          <t>한국유나이티드</t>
        </is>
      </c>
      <c r="F53" t="inlineStr">
        <is>
          <t>1캡슐</t>
        </is>
      </c>
      <c r="G53" s="2" t="n">
        <v>960</v>
      </c>
      <c r="H53" s="2" t="n">
        <v>1150</v>
      </c>
      <c r="I53" s="2" t="n">
        <v>8</v>
      </c>
      <c r="J53" s="2" t="n">
        <v>1104000</v>
      </c>
      <c r="K53" t="inlineStr">
        <is>
          <t>2026-07-22</t>
        </is>
      </c>
      <c r="L53" t="inlineStr">
        <is>
          <t>2026-08-13</t>
        </is>
      </c>
      <c r="M53" s="2" t="n">
        <v>769</v>
      </c>
      <c r="N53" s="2" t="n">
        <v>738240</v>
      </c>
      <c r="O53" s="2" t="n">
        <v>0</v>
      </c>
      <c r="P53" t="inlineStr">
        <is>
          <t>F01-5</t>
        </is>
      </c>
    </row>
    <row r="54">
      <c r="A54" t="n">
        <v>53</v>
      </c>
      <c r="B54" t="inlineStr">
        <is>
          <t>보급</t>
        </is>
      </c>
      <c r="C54" t="inlineStr">
        <is>
          <t>제피토정10/20밀리그램</t>
        </is>
      </c>
      <c r="D54" t="inlineStr">
        <is>
          <t>640007730</t>
        </is>
      </c>
      <c r="E54" t="inlineStr">
        <is>
          <t>에이치케이이노엔</t>
        </is>
      </c>
      <c r="F54" t="inlineStr">
        <is>
          <t>1정</t>
        </is>
      </c>
      <c r="G54" s="2" t="n">
        <v>1118</v>
      </c>
      <c r="H54" s="2" t="n">
        <v>977</v>
      </c>
      <c r="I54" s="2" t="n">
        <v>11</v>
      </c>
      <c r="J54" s="2" t="n">
        <v>1092286</v>
      </c>
      <c r="K54" t="inlineStr">
        <is>
          <t>2026-07-20</t>
        </is>
      </c>
      <c r="L54" t="inlineStr">
        <is>
          <t>2026-08-20</t>
        </is>
      </c>
      <c r="M54" s="2" t="n">
        <v>2031</v>
      </c>
      <c r="N54" s="2" t="n">
        <v>2270658</v>
      </c>
      <c r="O54" s="2" t="n">
        <v>0</v>
      </c>
      <c r="P54" t="inlineStr">
        <is>
          <t>자01-8</t>
        </is>
      </c>
    </row>
    <row r="55">
      <c r="A55" t="n">
        <v>54</v>
      </c>
      <c r="B55" t="inlineStr">
        <is>
          <t>보급</t>
        </is>
      </c>
      <c r="C55" t="inlineStr">
        <is>
          <t>뉴스타젯알정10/5밀리그램</t>
        </is>
      </c>
      <c r="D55" t="inlineStr">
        <is>
          <t>647805040</t>
        </is>
      </c>
      <c r="E55" t="inlineStr">
        <is>
          <t>삼진제약</t>
        </is>
      </c>
      <c r="F55" t="inlineStr">
        <is>
          <t>1정</t>
        </is>
      </c>
      <c r="G55" s="2" t="n">
        <v>550</v>
      </c>
      <c r="H55" s="2" t="n">
        <v>1972</v>
      </c>
      <c r="I55" s="2" t="n">
        <v>27</v>
      </c>
      <c r="J55" s="2" t="n">
        <v>1084600</v>
      </c>
      <c r="K55" t="inlineStr">
        <is>
          <t>2026-07-21</t>
        </is>
      </c>
      <c r="L55" t="inlineStr">
        <is>
          <t>2026-08-20</t>
        </is>
      </c>
      <c r="M55" s="2" t="n">
        <v>1160</v>
      </c>
      <c r="N55" s="2" t="n">
        <v>638000</v>
      </c>
      <c r="O55" s="2" t="n">
        <v>0</v>
      </c>
      <c r="P55" t="inlineStr">
        <is>
          <t>가1-10</t>
        </is>
      </c>
    </row>
    <row r="56">
      <c r="A56" t="n">
        <v>55</v>
      </c>
      <c r="B56" t="inlineStr">
        <is>
          <t>보급</t>
        </is>
      </c>
      <c r="C56" t="inlineStr">
        <is>
          <t>테넬로드엠서방정20/1000밀리그램</t>
        </is>
      </c>
      <c r="D56" t="inlineStr">
        <is>
          <t>694003820</t>
        </is>
      </c>
      <c r="E56" t="inlineStr">
        <is>
          <t>대웅바이오</t>
        </is>
      </c>
      <c r="F56" t="inlineStr">
        <is>
          <t>1정</t>
        </is>
      </c>
      <c r="G56" s="2" t="n">
        <v>665</v>
      </c>
      <c r="H56" s="2" t="n">
        <v>1629</v>
      </c>
      <c r="I56" s="2" t="n">
        <v>22</v>
      </c>
      <c r="J56" s="2" t="n">
        <v>1083285</v>
      </c>
      <c r="K56" t="inlineStr">
        <is>
          <t>2026-07-20</t>
        </is>
      </c>
      <c r="L56" t="inlineStr">
        <is>
          <t>2026-08-20</t>
        </is>
      </c>
      <c r="M56" s="2" t="n">
        <v>527</v>
      </c>
      <c r="N56" s="2" t="n">
        <v>350455</v>
      </c>
      <c r="O56" s="2" t="n">
        <v>0</v>
      </c>
      <c r="P56" t="inlineStr">
        <is>
          <t>하01-8</t>
        </is>
      </c>
    </row>
    <row r="57">
      <c r="A57" t="n">
        <v>56</v>
      </c>
      <c r="B57" t="inlineStr">
        <is>
          <t>보급</t>
        </is>
      </c>
      <c r="C57" t="inlineStr">
        <is>
          <t>조터나흡입용캡슐110/50마이크로그램</t>
        </is>
      </c>
      <c r="D57" t="inlineStr">
        <is>
          <t>653602492</t>
        </is>
      </c>
      <c r="E57" t="inlineStr">
        <is>
          <t>한국노바티스</t>
        </is>
      </c>
      <c r="F57" t="inlineStr">
        <is>
          <t>30캡슐</t>
        </is>
      </c>
      <c r="G57" s="2" t="n">
        <v>41636</v>
      </c>
      <c r="H57" s="2" t="n">
        <v>26</v>
      </c>
      <c r="I57" s="2" t="n">
        <v>8</v>
      </c>
      <c r="J57" s="2" t="n">
        <v>1082536</v>
      </c>
      <c r="K57" t="inlineStr">
        <is>
          <t>2026-07-20</t>
        </is>
      </c>
      <c r="L57" t="inlineStr">
        <is>
          <t>2026-08-19</t>
        </is>
      </c>
      <c r="M57" s="2" t="n">
        <v>8</v>
      </c>
      <c r="N57" s="2" t="n">
        <v>333088</v>
      </c>
      <c r="O57" s="2" t="n">
        <v>0</v>
      </c>
      <c r="P57" t="inlineStr">
        <is>
          <t>A11-2</t>
        </is>
      </c>
    </row>
    <row r="58">
      <c r="A58" t="n">
        <v>57</v>
      </c>
      <c r="B58" t="inlineStr">
        <is>
          <t>보급</t>
        </is>
      </c>
      <c r="C58" t="inlineStr">
        <is>
          <t>조피린장용정</t>
        </is>
      </c>
      <c r="D58" t="inlineStr">
        <is>
          <t>645301500</t>
        </is>
      </c>
      <c r="E58" t="inlineStr">
        <is>
          <t>한림제약</t>
        </is>
      </c>
      <c r="F58" t="inlineStr">
        <is>
          <t>1정</t>
        </is>
      </c>
      <c r="G58" s="2" t="n">
        <v>133</v>
      </c>
      <c r="H58" s="2" t="n">
        <v>8116</v>
      </c>
      <c r="I58" s="2" t="n">
        <v>61</v>
      </c>
      <c r="J58" s="2" t="n">
        <v>1079428</v>
      </c>
      <c r="K58" t="inlineStr">
        <is>
          <t>2026-07-20</t>
        </is>
      </c>
      <c r="L58" t="inlineStr">
        <is>
          <t>2026-08-20</t>
        </is>
      </c>
      <c r="M58" s="2" t="n">
        <v>1198</v>
      </c>
      <c r="N58" s="2" t="n">
        <v>159334</v>
      </c>
      <c r="O58" s="2" t="n">
        <v>0</v>
      </c>
      <c r="P58" t="inlineStr">
        <is>
          <t>A02-6</t>
        </is>
      </c>
    </row>
    <row r="59">
      <c r="A59" t="n">
        <v>58</v>
      </c>
      <c r="B59" t="inlineStr">
        <is>
          <t>보급</t>
        </is>
      </c>
      <c r="C59" t="inlineStr">
        <is>
          <t>트라젠타듀오정2.5/500밀리그램</t>
        </is>
      </c>
      <c r="D59" t="inlineStr">
        <is>
          <t>653501390</t>
        </is>
      </c>
      <c r="E59" t="inlineStr">
        <is>
          <t>한국베링거인겔하임</t>
        </is>
      </c>
      <c r="F59" t="inlineStr">
        <is>
          <t>1정</t>
        </is>
      </c>
      <c r="G59" s="2" t="n">
        <v>338</v>
      </c>
      <c r="H59" s="2" t="n">
        <v>3157</v>
      </c>
      <c r="I59" s="2" t="n">
        <v>26</v>
      </c>
      <c r="J59" s="2" t="n">
        <v>1067066</v>
      </c>
      <c r="K59" t="inlineStr">
        <is>
          <t>2026-07-20</t>
        </is>
      </c>
      <c r="L59" t="inlineStr">
        <is>
          <t>2026-08-20</t>
        </is>
      </c>
      <c r="M59" s="2" t="n">
        <v>538</v>
      </c>
      <c r="N59" s="2" t="n">
        <v>181844</v>
      </c>
      <c r="O59" s="2" t="n">
        <v>0</v>
      </c>
      <c r="P59" t="inlineStr">
        <is>
          <t>A01-2</t>
        </is>
      </c>
    </row>
    <row r="60">
      <c r="A60" t="n">
        <v>59</v>
      </c>
      <c r="B60" t="inlineStr">
        <is>
          <t>보급</t>
        </is>
      </c>
      <c r="C60" t="inlineStr">
        <is>
          <t>트리레복정50/12.5/200mg</t>
        </is>
      </c>
      <c r="D60" t="inlineStr">
        <is>
          <t>651904250</t>
        </is>
      </c>
      <c r="E60" t="inlineStr">
        <is>
          <t>명인제약</t>
        </is>
      </c>
      <c r="F60" t="inlineStr">
        <is>
          <t>1정</t>
        </is>
      </c>
      <c r="G60" s="2" t="n">
        <v>927</v>
      </c>
      <c r="H60" s="2" t="n">
        <v>1137</v>
      </c>
      <c r="I60" s="2" t="n">
        <v>12</v>
      </c>
      <c r="J60" s="2" t="n">
        <v>1053999</v>
      </c>
      <c r="K60" t="inlineStr">
        <is>
          <t>2026-07-20</t>
        </is>
      </c>
      <c r="L60" t="inlineStr">
        <is>
          <t>2026-08-05</t>
        </is>
      </c>
      <c r="M60" s="2" t="n">
        <v>2679</v>
      </c>
      <c r="N60" s="2" t="n">
        <v>2483433</v>
      </c>
      <c r="O60" s="2" t="n">
        <v>0</v>
      </c>
      <c r="P60" t="inlineStr">
        <is>
          <t>바1-10</t>
        </is>
      </c>
    </row>
    <row r="61">
      <c r="A61" t="n">
        <v>60</v>
      </c>
      <c r="B61" t="inlineStr">
        <is>
          <t>보급</t>
        </is>
      </c>
      <c r="C61" t="inlineStr">
        <is>
          <t>로이옴점안액</t>
        </is>
      </c>
      <c r="D61" t="inlineStr">
        <is>
          <t>645306271</t>
        </is>
      </c>
      <c r="E61" t="inlineStr">
        <is>
          <t>한림제약</t>
        </is>
      </c>
      <c r="F61" t="inlineStr">
        <is>
          <t>0.25mL</t>
        </is>
      </c>
      <c r="G61" s="2" t="n">
        <v>763</v>
      </c>
      <c r="H61" s="2" t="n">
        <v>1380</v>
      </c>
      <c r="I61" s="2" t="n">
        <v>7</v>
      </c>
      <c r="J61" s="2" t="n">
        <v>1052940</v>
      </c>
      <c r="K61" t="inlineStr">
        <is>
          <t>2026-07-20</t>
        </is>
      </c>
      <c r="L61" t="inlineStr">
        <is>
          <t>2026-08-18</t>
        </is>
      </c>
      <c r="M61" s="2" t="n">
        <v>390</v>
      </c>
      <c r="N61" s="2" t="n">
        <v>297570</v>
      </c>
      <c r="O61" s="2" t="n">
        <v>0</v>
      </c>
      <c r="P61" t="inlineStr">
        <is>
          <t>A09-2</t>
        </is>
      </c>
    </row>
    <row r="62">
      <c r="A62" t="n">
        <v>61</v>
      </c>
      <c r="B62" t="inlineStr">
        <is>
          <t>보급</t>
        </is>
      </c>
      <c r="C62" t="inlineStr">
        <is>
          <t>아스피린프로텍트정100밀리그램</t>
        </is>
      </c>
      <c r="D62" t="inlineStr">
        <is>
          <t>641100270</t>
        </is>
      </c>
      <c r="E62" t="inlineStr">
        <is>
          <t>바이엘코리아</t>
        </is>
      </c>
      <c r="F62" t="inlineStr">
        <is>
          <t>1정</t>
        </is>
      </c>
      <c r="G62" s="2" t="n">
        <v>77</v>
      </c>
      <c r="H62" s="2" t="n">
        <v>13402</v>
      </c>
      <c r="I62" s="2" t="n">
        <v>148</v>
      </c>
      <c r="J62" s="2" t="n">
        <v>1031954</v>
      </c>
      <c r="K62" t="inlineStr">
        <is>
          <t>2026-07-20</t>
        </is>
      </c>
      <c r="L62" t="inlineStr">
        <is>
          <t>2026-08-20</t>
        </is>
      </c>
      <c r="M62" s="2" t="n">
        <v>4590</v>
      </c>
      <c r="N62" s="2" t="n">
        <v>353430</v>
      </c>
      <c r="O62" s="2" t="n">
        <v>0</v>
      </c>
      <c r="P62" t="inlineStr">
        <is>
          <t>아01-4</t>
        </is>
      </c>
    </row>
    <row r="63">
      <c r="A63" t="n">
        <v>62</v>
      </c>
      <c r="B63" t="inlineStr">
        <is>
          <t>보급</t>
        </is>
      </c>
      <c r="C63" t="inlineStr">
        <is>
          <t>알러지논정10mg</t>
        </is>
      </c>
      <c r="D63" t="inlineStr">
        <is>
          <t>645400690</t>
        </is>
      </c>
      <c r="E63" t="inlineStr">
        <is>
          <t>제일약품</t>
        </is>
      </c>
      <c r="F63" t="inlineStr">
        <is>
          <t>1정</t>
        </is>
      </c>
      <c r="G63" s="2" t="n">
        <v>455</v>
      </c>
      <c r="H63" s="2" t="n">
        <v>2221</v>
      </c>
      <c r="I63" s="2" t="n">
        <v>65</v>
      </c>
      <c r="J63" s="2" t="n">
        <v>1010555</v>
      </c>
      <c r="K63" t="inlineStr">
        <is>
          <t>2026-07-21</t>
        </is>
      </c>
      <c r="L63" t="inlineStr">
        <is>
          <t>2026-08-20</t>
        </is>
      </c>
      <c r="M63" s="2" t="n">
        <v>1005</v>
      </c>
      <c r="N63" s="2" t="n">
        <v>457275</v>
      </c>
      <c r="O63" s="2" t="n">
        <v>0</v>
      </c>
      <c r="P63" t="inlineStr">
        <is>
          <t>아01-8</t>
        </is>
      </c>
    </row>
    <row r="64">
      <c r="A64" t="n">
        <v>63</v>
      </c>
      <c r="B64" t="inlineStr">
        <is>
          <t>보급</t>
        </is>
      </c>
      <c r="C64" t="inlineStr">
        <is>
          <t>사미온정10밀리그램</t>
        </is>
      </c>
      <c r="D64" t="inlineStr">
        <is>
          <t>642900680</t>
        </is>
      </c>
      <c r="E64" t="inlineStr">
        <is>
          <t>일동제약</t>
        </is>
      </c>
      <c r="F64" t="inlineStr">
        <is>
          <t>1정</t>
        </is>
      </c>
      <c r="G64" s="2" t="n">
        <v>213</v>
      </c>
      <c r="H64" s="2" t="n">
        <v>4467</v>
      </c>
      <c r="I64" s="2" t="n">
        <v>37</v>
      </c>
      <c r="J64" s="2" t="n">
        <v>951471</v>
      </c>
      <c r="K64" t="inlineStr">
        <is>
          <t>2026-07-20</t>
        </is>
      </c>
      <c r="L64" t="inlineStr">
        <is>
          <t>2026-08-20</t>
        </is>
      </c>
      <c r="M64" s="2" t="n">
        <v>4027</v>
      </c>
      <c r="N64" s="2" t="n">
        <v>857751</v>
      </c>
      <c r="O64" s="2" t="n">
        <v>0</v>
      </c>
      <c r="P64" t="inlineStr">
        <is>
          <t>사01-1</t>
        </is>
      </c>
    </row>
    <row r="65">
      <c r="A65" t="n">
        <v>64</v>
      </c>
      <c r="B65" t="inlineStr">
        <is>
          <t>보급</t>
        </is>
      </c>
      <c r="C65" t="inlineStr">
        <is>
          <t>케이캡구강붕해정25밀리그램</t>
        </is>
      </c>
      <c r="D65" t="inlineStr">
        <is>
          <t>640007890</t>
        </is>
      </c>
      <c r="E65" t="inlineStr">
        <is>
          <t>에이치케이이노엔</t>
        </is>
      </c>
      <c r="F65" t="inlineStr">
        <is>
          <t>1정</t>
        </is>
      </c>
      <c r="G65" s="2" t="n">
        <v>867</v>
      </c>
      <c r="H65" s="2" t="n">
        <v>1006</v>
      </c>
      <c r="I65" s="2" t="n">
        <v>15</v>
      </c>
      <c r="J65" s="2" t="n">
        <v>872202</v>
      </c>
      <c r="K65" t="inlineStr">
        <is>
          <t>2026-07-20</t>
        </is>
      </c>
      <c r="L65" t="inlineStr">
        <is>
          <t>2026-08-20</t>
        </is>
      </c>
      <c r="M65" s="2" t="n">
        <v>489</v>
      </c>
      <c r="N65" s="2" t="n">
        <v>423963</v>
      </c>
      <c r="O65" s="2" t="n">
        <v>0</v>
      </c>
      <c r="P65" t="inlineStr">
        <is>
          <t>A07-2</t>
        </is>
      </c>
    </row>
    <row r="66">
      <c r="A66" t="n">
        <v>65</v>
      </c>
      <c r="B66" t="inlineStr">
        <is>
          <t>보급</t>
        </is>
      </c>
      <c r="C66" t="inlineStr">
        <is>
          <t>유에프티캡슐</t>
        </is>
      </c>
      <c r="D66" t="inlineStr">
        <is>
          <t>645400890</t>
        </is>
      </c>
      <c r="E66" t="inlineStr">
        <is>
          <t>제일약품</t>
        </is>
      </c>
      <c r="F66" t="inlineStr">
        <is>
          <t>1캡슐</t>
        </is>
      </c>
      <c r="G66" s="2" t="n">
        <v>547</v>
      </c>
      <c r="H66" s="2" t="n">
        <v>1584</v>
      </c>
      <c r="I66" s="2" t="n">
        <v>12</v>
      </c>
      <c r="J66" s="2" t="n">
        <v>866448</v>
      </c>
      <c r="K66" t="inlineStr">
        <is>
          <t>2026-07-20</t>
        </is>
      </c>
      <c r="L66" t="inlineStr">
        <is>
          <t>2026-08-13</t>
        </is>
      </c>
      <c r="M66" s="2" t="n">
        <v>2104</v>
      </c>
      <c r="N66" s="2" t="n">
        <v>1150888</v>
      </c>
      <c r="O66" s="2" t="n">
        <v>0</v>
      </c>
      <c r="P66" t="inlineStr">
        <is>
          <t>A03-9</t>
        </is>
      </c>
    </row>
    <row r="67">
      <c r="A67" t="n">
        <v>66</v>
      </c>
      <c r="B67" t="inlineStr">
        <is>
          <t>보급</t>
        </is>
      </c>
      <c r="C67" t="inlineStr">
        <is>
          <t>자디앙듀오정12.5/850밀리그램</t>
        </is>
      </c>
      <c r="D67" t="inlineStr">
        <is>
          <t>653501510</t>
        </is>
      </c>
      <c r="E67" t="inlineStr">
        <is>
          <t>한국베링거인겔하임</t>
        </is>
      </c>
      <c r="F67" t="inlineStr">
        <is>
          <t>1정</t>
        </is>
      </c>
      <c r="G67" s="2" t="n">
        <v>423</v>
      </c>
      <c r="H67" s="2" t="n">
        <v>2046</v>
      </c>
      <c r="I67" s="2" t="n">
        <v>12</v>
      </c>
      <c r="J67" s="2" t="n">
        <v>865458</v>
      </c>
      <c r="K67" t="inlineStr">
        <is>
          <t>2026-07-20</t>
        </is>
      </c>
      <c r="L67" t="inlineStr">
        <is>
          <t>2026-08-20</t>
        </is>
      </c>
      <c r="M67" s="2" t="n">
        <v>708</v>
      </c>
      <c r="N67" s="2" t="n">
        <v>299484</v>
      </c>
      <c r="O67" s="2" t="n">
        <v>0</v>
      </c>
      <c r="P67" t="inlineStr">
        <is>
          <t>자01-5</t>
        </is>
      </c>
    </row>
    <row r="68">
      <c r="A68" t="n">
        <v>67</v>
      </c>
      <c r="B68" t="inlineStr">
        <is>
          <t>보급</t>
        </is>
      </c>
      <c r="C68" t="inlineStr">
        <is>
          <t>포스터넥스트할러</t>
        </is>
      </c>
      <c r="D68" t="inlineStr">
        <is>
          <t>670304051</t>
        </is>
      </c>
      <c r="E68" t="inlineStr">
        <is>
          <t>코오롱제약</t>
        </is>
      </c>
      <c r="F68" t="inlineStr">
        <is>
          <t>120회</t>
        </is>
      </c>
      <c r="G68" s="2" t="n">
        <v>39269</v>
      </c>
      <c r="H68" s="2" t="n">
        <v>22</v>
      </c>
      <c r="I68" s="2" t="n">
        <v>10</v>
      </c>
      <c r="J68" s="2" t="n">
        <v>863918</v>
      </c>
      <c r="K68" t="inlineStr">
        <is>
          <t>2026-07-20</t>
        </is>
      </c>
      <c r="L68" t="inlineStr">
        <is>
          <t>2026-08-18</t>
        </is>
      </c>
      <c r="M68" s="2" t="n">
        <v>10</v>
      </c>
      <c r="N68" s="2" t="n">
        <v>392690</v>
      </c>
      <c r="O68" s="2" t="n">
        <v>0</v>
      </c>
      <c r="P68" t="inlineStr">
        <is>
          <t>A12-2</t>
        </is>
      </c>
    </row>
    <row r="69">
      <c r="A69" t="n">
        <v>68</v>
      </c>
      <c r="B69" t="inlineStr">
        <is>
          <t>보급</t>
        </is>
      </c>
      <c r="C69" t="inlineStr">
        <is>
          <t>바라크루드정0.5밀리그램</t>
        </is>
      </c>
      <c r="D69" t="inlineStr">
        <is>
          <t>658700100</t>
        </is>
      </c>
      <c r="E69" t="inlineStr">
        <is>
          <t>한국비엠에스</t>
        </is>
      </c>
      <c r="F69" t="inlineStr">
        <is>
          <t>1정</t>
        </is>
      </c>
      <c r="G69" s="2" t="n">
        <v>3001</v>
      </c>
      <c r="H69" s="2" t="n">
        <v>287</v>
      </c>
      <c r="I69" s="2" t="n">
        <v>2</v>
      </c>
      <c r="J69" s="2" t="n">
        <v>861287</v>
      </c>
      <c r="K69" t="inlineStr">
        <is>
          <t>2026-07-31</t>
        </is>
      </c>
      <c r="L69" t="inlineStr">
        <is>
          <t>2026-08-07</t>
        </is>
      </c>
      <c r="M69" s="2" t="n">
        <v>549</v>
      </c>
      <c r="N69" s="2" t="n">
        <v>1647549</v>
      </c>
      <c r="O69" s="2" t="n">
        <v>0</v>
      </c>
      <c r="P69" t="inlineStr">
        <is>
          <t>A05-1</t>
        </is>
      </c>
    </row>
    <row r="70">
      <c r="A70" t="n">
        <v>69</v>
      </c>
      <c r="B70" t="inlineStr">
        <is>
          <t>비급</t>
        </is>
      </c>
      <c r="C70" t="inlineStr">
        <is>
          <t>아로나민케어싸이징</t>
        </is>
      </c>
      <c r="D70" t="inlineStr">
        <is>
          <t>2120564</t>
        </is>
      </c>
      <c r="E70" t="inlineStr">
        <is>
          <t>일동제약</t>
        </is>
      </c>
      <c r="F70" t="inlineStr">
        <is>
          <t>0</t>
        </is>
      </c>
      <c r="G70" s="2" t="n">
        <v>400</v>
      </c>
      <c r="H70" s="2" t="n">
        <v>2131</v>
      </c>
      <c r="I70" s="2" t="n">
        <v>22</v>
      </c>
      <c r="J70" s="2" t="n">
        <v>852400</v>
      </c>
      <c r="K70" t="inlineStr">
        <is>
          <t>2026-07-22</t>
        </is>
      </c>
      <c r="L70" t="inlineStr">
        <is>
          <t>2026-08-20</t>
        </is>
      </c>
      <c r="M70" s="2" t="n">
        <v>1197</v>
      </c>
      <c r="N70" s="2" t="n">
        <v>398601</v>
      </c>
      <c r="O70" s="2" t="n">
        <v>0</v>
      </c>
      <c r="P70" t="inlineStr">
        <is>
          <t>타워2-4</t>
        </is>
      </c>
    </row>
    <row r="71">
      <c r="A71" t="n">
        <v>70</v>
      </c>
      <c r="B71" t="inlineStr">
        <is>
          <t>보급</t>
        </is>
      </c>
      <c r="C71" t="inlineStr">
        <is>
          <t>뉴멘타민서방캡슐24밀리그램</t>
        </is>
      </c>
      <c r="D71" t="inlineStr">
        <is>
          <t>642802340</t>
        </is>
      </c>
      <c r="E71" t="inlineStr">
        <is>
          <t>고려제약</t>
        </is>
      </c>
      <c r="F71" t="inlineStr">
        <is>
          <t>1캡슐</t>
        </is>
      </c>
      <c r="G71" s="2" t="n">
        <v>2432</v>
      </c>
      <c r="H71" s="2" t="n">
        <v>350</v>
      </c>
      <c r="I71" s="2" t="n">
        <v>6</v>
      </c>
      <c r="J71" s="2" t="n">
        <v>851200</v>
      </c>
      <c r="K71" t="inlineStr">
        <is>
          <t>2026-07-20</t>
        </is>
      </c>
      <c r="L71" t="inlineStr">
        <is>
          <t>2026-08-12</t>
        </is>
      </c>
      <c r="M71" s="2" t="n">
        <v>405</v>
      </c>
      <c r="N71" s="2" t="n">
        <v>984960</v>
      </c>
      <c r="O71" s="2" t="n">
        <v>0</v>
      </c>
      <c r="P71" t="inlineStr">
        <is>
          <t>A03-6</t>
        </is>
      </c>
    </row>
    <row r="72">
      <c r="A72" t="n">
        <v>71</v>
      </c>
      <c r="B72" t="inlineStr">
        <is>
          <t>보급</t>
        </is>
      </c>
      <c r="C72" t="inlineStr">
        <is>
          <t>리넥신서방정</t>
        </is>
      </c>
      <c r="D72" t="inlineStr">
        <is>
          <t>644704780</t>
        </is>
      </c>
      <c r="E72" t="inlineStr">
        <is>
          <t>에스케이케미칼</t>
        </is>
      </c>
      <c r="F72" t="inlineStr">
        <is>
          <t>1정</t>
        </is>
      </c>
      <c r="G72" s="2" t="n">
        <v>1324</v>
      </c>
      <c r="H72" s="2" t="n">
        <v>640</v>
      </c>
      <c r="I72" s="2" t="n">
        <v>8</v>
      </c>
      <c r="J72" s="2" t="n">
        <v>847360</v>
      </c>
      <c r="K72" t="inlineStr">
        <is>
          <t>2026-07-21</t>
        </is>
      </c>
      <c r="L72" t="inlineStr">
        <is>
          <t>2026-08-12</t>
        </is>
      </c>
      <c r="M72" s="2" t="n">
        <v>597</v>
      </c>
      <c r="N72" s="2" t="n">
        <v>790428</v>
      </c>
      <c r="O72" s="2" t="n">
        <v>0</v>
      </c>
      <c r="P72" t="inlineStr">
        <is>
          <t>라01-3</t>
        </is>
      </c>
    </row>
    <row r="73">
      <c r="A73" t="n">
        <v>72</v>
      </c>
      <c r="B73" t="inlineStr">
        <is>
          <t>보급</t>
        </is>
      </c>
      <c r="C73" t="inlineStr">
        <is>
          <t>로수바미정10/10밀리그램</t>
        </is>
      </c>
      <c r="D73" t="inlineStr">
        <is>
          <t>642104820</t>
        </is>
      </c>
      <c r="E73" t="inlineStr">
        <is>
          <t>(주)유한양행</t>
        </is>
      </c>
      <c r="F73" t="inlineStr">
        <is>
          <t>1정</t>
        </is>
      </c>
      <c r="G73" s="2" t="n">
        <v>1140</v>
      </c>
      <c r="H73" s="2" t="n">
        <v>739</v>
      </c>
      <c r="I73" s="2" t="n">
        <v>20</v>
      </c>
      <c r="J73" s="2" t="n">
        <v>842460</v>
      </c>
      <c r="K73" t="inlineStr">
        <is>
          <t>2026-07-20</t>
        </is>
      </c>
      <c r="L73" t="inlineStr">
        <is>
          <t>2026-08-20</t>
        </is>
      </c>
      <c r="M73" s="2" t="n">
        <v>620</v>
      </c>
      <c r="N73" s="2" t="n">
        <v>706800</v>
      </c>
      <c r="O73" s="2" t="n">
        <v>0</v>
      </c>
      <c r="P73" t="inlineStr">
        <is>
          <t>A01-5</t>
        </is>
      </c>
    </row>
    <row r="74">
      <c r="A74" t="n">
        <v>73</v>
      </c>
      <c r="B74" t="inlineStr">
        <is>
          <t>보급</t>
        </is>
      </c>
      <c r="C74" t="inlineStr">
        <is>
          <t>잘로스트S점안액</t>
        </is>
      </c>
      <c r="D74" t="inlineStr">
        <is>
          <t>650103191</t>
        </is>
      </c>
      <c r="E74" t="inlineStr">
        <is>
          <t>(주)태준제약</t>
        </is>
      </c>
      <c r="F74" t="inlineStr">
        <is>
          <t>0.2mL</t>
        </is>
      </c>
      <c r="G74" s="2" t="n">
        <v>1334</v>
      </c>
      <c r="H74" s="2" t="n">
        <v>630</v>
      </c>
      <c r="I74" s="2" t="n">
        <v>9</v>
      </c>
      <c r="J74" s="2" t="n">
        <v>840420</v>
      </c>
      <c r="K74" t="inlineStr">
        <is>
          <t>2026-07-20</t>
        </is>
      </c>
      <c r="L74" t="inlineStr">
        <is>
          <t>2026-08-20</t>
        </is>
      </c>
      <c r="M74" s="2" t="n">
        <v>240</v>
      </c>
      <c r="N74" s="2" t="n">
        <v>320160</v>
      </c>
      <c r="O74" s="2" t="n">
        <v>0</v>
      </c>
      <c r="P74" t="inlineStr">
        <is>
          <t>A10-4</t>
        </is>
      </c>
    </row>
    <row r="75">
      <c r="A75" t="n">
        <v>74</v>
      </c>
      <c r="B75" t="inlineStr">
        <is>
          <t>보급</t>
        </is>
      </c>
      <c r="C75" t="inlineStr">
        <is>
          <t>듀비에정0.5밀리그램</t>
        </is>
      </c>
      <c r="D75" t="inlineStr">
        <is>
          <t>643306610</t>
        </is>
      </c>
      <c r="E75" t="inlineStr">
        <is>
          <t>(주)종근당</t>
        </is>
      </c>
      <c r="F75" t="inlineStr">
        <is>
          <t>1정</t>
        </is>
      </c>
      <c r="G75" s="2" t="n">
        <v>610</v>
      </c>
      <c r="H75" s="2" t="n">
        <v>1370</v>
      </c>
      <c r="I75" s="2" t="n">
        <v>19</v>
      </c>
      <c r="J75" s="2" t="n">
        <v>835700</v>
      </c>
      <c r="K75" t="inlineStr">
        <is>
          <t>2026-07-20</t>
        </is>
      </c>
      <c r="L75" t="inlineStr">
        <is>
          <t>2026-08-20</t>
        </is>
      </c>
      <c r="M75" s="2" t="n">
        <v>404.5</v>
      </c>
      <c r="N75" s="2" t="n">
        <v>246745</v>
      </c>
      <c r="O75" s="2" t="n">
        <v>0</v>
      </c>
      <c r="P75" t="inlineStr">
        <is>
          <t>다01-11</t>
        </is>
      </c>
    </row>
    <row r="76">
      <c r="A76" t="n">
        <v>75</v>
      </c>
      <c r="B76" t="inlineStr">
        <is>
          <t>보급</t>
        </is>
      </c>
      <c r="C76" t="inlineStr">
        <is>
          <t>트라젠타정</t>
        </is>
      </c>
      <c r="D76" t="inlineStr">
        <is>
          <t>653501380</t>
        </is>
      </c>
      <c r="E76" t="inlineStr">
        <is>
          <t>한국베링거인겔하임</t>
        </is>
      </c>
      <c r="F76" t="inlineStr">
        <is>
          <t>1정</t>
        </is>
      </c>
      <c r="G76" s="2" t="n">
        <v>402</v>
      </c>
      <c r="H76" s="2" t="n">
        <v>2070</v>
      </c>
      <c r="I76" s="2" t="n">
        <v>28</v>
      </c>
      <c r="J76" s="2" t="n">
        <v>832140</v>
      </c>
      <c r="K76" t="inlineStr">
        <is>
          <t>2026-07-21</t>
        </is>
      </c>
      <c r="L76" t="inlineStr">
        <is>
          <t>2026-08-19</t>
        </is>
      </c>
      <c r="M76" s="2" t="n">
        <v>1198</v>
      </c>
      <c r="N76" s="2" t="n">
        <v>481596</v>
      </c>
      <c r="O76" s="2" t="n">
        <v>1000</v>
      </c>
      <c r="P76" t="inlineStr">
        <is>
          <t>바01-9</t>
        </is>
      </c>
    </row>
    <row r="77">
      <c r="A77" t="n">
        <v>76</v>
      </c>
      <c r="B77" t="inlineStr">
        <is>
          <t>보급</t>
        </is>
      </c>
      <c r="C77" t="inlineStr">
        <is>
          <t>쎄레브렉스캡슐200밀리그램</t>
        </is>
      </c>
      <c r="D77" t="inlineStr">
        <is>
          <t>073400280</t>
        </is>
      </c>
      <c r="E77" t="inlineStr">
        <is>
          <t>비아트리스</t>
        </is>
      </c>
      <c r="F77" t="inlineStr">
        <is>
          <t>1캡슐</t>
        </is>
      </c>
      <c r="G77" s="2" t="n">
        <v>502</v>
      </c>
      <c r="H77" s="2" t="n">
        <v>1657</v>
      </c>
      <c r="I77" s="2" t="n">
        <v>56</v>
      </c>
      <c r="J77" s="2" t="n">
        <v>831814</v>
      </c>
      <c r="K77" t="inlineStr">
        <is>
          <t>2026-07-20</t>
        </is>
      </c>
      <c r="L77" t="inlineStr">
        <is>
          <t>2026-08-20</t>
        </is>
      </c>
      <c r="M77" s="2" t="n">
        <v>1307</v>
      </c>
      <c r="N77" s="2" t="n">
        <v>656114</v>
      </c>
      <c r="O77" s="2" t="n">
        <v>1000</v>
      </c>
      <c r="P77" t="inlineStr">
        <is>
          <t>바01-3</t>
        </is>
      </c>
    </row>
    <row r="78">
      <c r="A78" t="n">
        <v>77</v>
      </c>
      <c r="B78" t="inlineStr">
        <is>
          <t>보급</t>
        </is>
      </c>
      <c r="C78" t="inlineStr">
        <is>
          <t>마디핀정10밀리그램</t>
        </is>
      </c>
      <c r="D78" t="inlineStr">
        <is>
          <t>640000310</t>
        </is>
      </c>
      <c r="E78" t="inlineStr">
        <is>
          <t>에이치케이이노엔</t>
        </is>
      </c>
      <c r="F78" t="inlineStr">
        <is>
          <t>1정</t>
        </is>
      </c>
      <c r="G78" s="2" t="n">
        <v>380</v>
      </c>
      <c r="H78" s="2" t="n">
        <v>2182.5</v>
      </c>
      <c r="I78" s="2" t="n">
        <v>24</v>
      </c>
      <c r="J78" s="2" t="n">
        <v>829350</v>
      </c>
      <c r="K78" t="inlineStr">
        <is>
          <t>2026-07-20</t>
        </is>
      </c>
      <c r="L78" t="inlineStr">
        <is>
          <t>2026-08-20</t>
        </is>
      </c>
      <c r="M78" s="2" t="n">
        <v>1319.5</v>
      </c>
      <c r="N78" s="2" t="n">
        <v>501410</v>
      </c>
      <c r="O78" s="2" t="n">
        <v>0</v>
      </c>
      <c r="P78" t="inlineStr">
        <is>
          <t>마01-9</t>
        </is>
      </c>
    </row>
    <row r="79">
      <c r="A79" t="n">
        <v>78</v>
      </c>
      <c r="B79" t="inlineStr">
        <is>
          <t>보급</t>
        </is>
      </c>
      <c r="C79" t="inlineStr">
        <is>
          <t>엑스원정5/160밀리그램</t>
        </is>
      </c>
      <c r="D79" t="inlineStr">
        <is>
          <t>640006580</t>
        </is>
      </c>
      <c r="E79" t="inlineStr">
        <is>
          <t>에이치케이이노엔</t>
        </is>
      </c>
      <c r="F79" t="inlineStr">
        <is>
          <t>1정</t>
        </is>
      </c>
      <c r="G79" s="2" t="n">
        <v>974</v>
      </c>
      <c r="H79" s="2" t="n">
        <v>843</v>
      </c>
      <c r="I79" s="2" t="n">
        <v>7</v>
      </c>
      <c r="J79" s="2" t="n">
        <v>821082</v>
      </c>
      <c r="K79" t="inlineStr">
        <is>
          <t>2026-07-20</t>
        </is>
      </c>
      <c r="L79" t="inlineStr">
        <is>
          <t>2026-08-04</t>
        </is>
      </c>
      <c r="M79" s="2" t="n">
        <v>942</v>
      </c>
      <c r="N79" s="2" t="n">
        <v>917508</v>
      </c>
      <c r="O79" s="2" t="n">
        <v>0</v>
      </c>
      <c r="P79" t="inlineStr">
        <is>
          <t>오04-1</t>
        </is>
      </c>
    </row>
    <row r="80">
      <c r="A80" t="n">
        <v>79</v>
      </c>
      <c r="B80" t="inlineStr">
        <is>
          <t>보급</t>
        </is>
      </c>
      <c r="C80" t="inlineStr">
        <is>
          <t>트라젠타듀오정2.5/1000밀리그램</t>
        </is>
      </c>
      <c r="D80" t="inlineStr">
        <is>
          <t>653501410</t>
        </is>
      </c>
      <c r="E80" t="inlineStr">
        <is>
          <t>한국베링거인겔하임</t>
        </is>
      </c>
      <c r="F80" t="inlineStr">
        <is>
          <t>1정</t>
        </is>
      </c>
      <c r="G80" s="2" t="n">
        <v>344</v>
      </c>
      <c r="H80" s="2" t="n">
        <v>2384</v>
      </c>
      <c r="I80" s="2" t="n">
        <v>17</v>
      </c>
      <c r="J80" s="2" t="n">
        <v>820096</v>
      </c>
      <c r="K80" t="inlineStr">
        <is>
          <t>2026-07-20</t>
        </is>
      </c>
      <c r="L80" t="inlineStr">
        <is>
          <t>2026-08-20</t>
        </is>
      </c>
      <c r="M80" s="2" t="n">
        <v>470</v>
      </c>
      <c r="N80" s="2" t="n">
        <v>161680</v>
      </c>
      <c r="O80" s="2" t="n">
        <v>0</v>
      </c>
      <c r="P80" t="inlineStr">
        <is>
          <t>A01-2</t>
        </is>
      </c>
    </row>
    <row r="81">
      <c r="A81" t="n">
        <v>80</v>
      </c>
      <c r="B81" t="inlineStr">
        <is>
          <t>보급</t>
        </is>
      </c>
      <c r="C81" t="inlineStr">
        <is>
          <t>디아미크롱MR 30mg</t>
        </is>
      </c>
      <c r="D81" t="inlineStr">
        <is>
          <t>676300040</t>
        </is>
      </c>
      <c r="E81" t="inlineStr">
        <is>
          <t>한국세르비에</t>
        </is>
      </c>
      <c r="F81" t="inlineStr">
        <is>
          <t>1정</t>
        </is>
      </c>
      <c r="G81" s="2" t="n">
        <v>118</v>
      </c>
      <c r="H81" s="2" t="n">
        <v>6906</v>
      </c>
      <c r="I81" s="2" t="n">
        <v>82</v>
      </c>
      <c r="J81" s="2" t="n">
        <v>814908</v>
      </c>
      <c r="K81" t="inlineStr">
        <is>
          <t>2026-07-20</t>
        </is>
      </c>
      <c r="L81" t="inlineStr">
        <is>
          <t>2026-08-20</t>
        </is>
      </c>
      <c r="M81" s="2" t="n">
        <v>1176</v>
      </c>
      <c r="N81" s="2" t="n">
        <v>138768</v>
      </c>
      <c r="O81" s="2" t="n">
        <v>0</v>
      </c>
      <c r="P81" t="inlineStr">
        <is>
          <t>다01-9</t>
        </is>
      </c>
    </row>
    <row r="82">
      <c r="A82" t="n">
        <v>81</v>
      </c>
      <c r="B82" t="inlineStr">
        <is>
          <t>보급</t>
        </is>
      </c>
      <c r="C82" t="inlineStr">
        <is>
          <t>자디앙정25밀리그램</t>
        </is>
      </c>
      <c r="D82" t="inlineStr">
        <is>
          <t>653501470</t>
        </is>
      </c>
      <c r="E82" t="inlineStr">
        <is>
          <t>한국베링거인겔하임</t>
        </is>
      </c>
      <c r="F82" t="inlineStr">
        <is>
          <t>1정</t>
        </is>
      </c>
      <c r="G82" s="2" t="n">
        <v>533</v>
      </c>
      <c r="H82" s="2" t="n">
        <v>1522</v>
      </c>
      <c r="I82" s="2" t="n">
        <v>18</v>
      </c>
      <c r="J82" s="2" t="n">
        <v>811226</v>
      </c>
      <c r="K82" t="inlineStr">
        <is>
          <t>2026-07-21</t>
        </is>
      </c>
      <c r="L82" t="inlineStr">
        <is>
          <t>2026-08-14</t>
        </is>
      </c>
      <c r="M82" s="2" t="n">
        <v>531</v>
      </c>
      <c r="N82" s="2" t="n">
        <v>283023</v>
      </c>
      <c r="O82" s="2" t="n">
        <v>0</v>
      </c>
      <c r="P82" t="inlineStr">
        <is>
          <t>사02-8</t>
        </is>
      </c>
    </row>
    <row r="83">
      <c r="A83" t="n">
        <v>82</v>
      </c>
      <c r="B83" t="inlineStr">
        <is>
          <t>보급</t>
        </is>
      </c>
      <c r="C83" t="inlineStr">
        <is>
          <t>듀락칸이지시럽</t>
        </is>
      </c>
      <c r="D83" t="inlineStr">
        <is>
          <t>644913501</t>
        </is>
      </c>
      <c r="E83" t="inlineStr">
        <is>
          <t>제이더블유중외</t>
        </is>
      </c>
      <c r="F83" t="inlineStr">
        <is>
          <t>15mL</t>
        </is>
      </c>
      <c r="G83" s="2" t="n">
        <v>201</v>
      </c>
      <c r="H83" s="2" t="n">
        <v>4029</v>
      </c>
      <c r="I83" s="2" t="n">
        <v>49</v>
      </c>
      <c r="J83" s="2" t="n">
        <v>809829</v>
      </c>
      <c r="K83" t="inlineStr">
        <is>
          <t>2026-07-20</t>
        </is>
      </c>
      <c r="L83" t="inlineStr">
        <is>
          <t>2026-08-19</t>
        </is>
      </c>
      <c r="M83" s="2" t="n">
        <v>478</v>
      </c>
      <c r="N83" s="2" t="n">
        <v>96078</v>
      </c>
      <c r="O83" s="2" t="n">
        <v>0</v>
      </c>
      <c r="P83" t="inlineStr">
        <is>
          <t>B07-2</t>
        </is>
      </c>
    </row>
    <row r="84">
      <c r="A84" t="n">
        <v>83</v>
      </c>
      <c r="B84" t="inlineStr">
        <is>
          <t>보급</t>
        </is>
      </c>
      <c r="C84" t="inlineStr">
        <is>
          <t>안토린캡슐</t>
        </is>
      </c>
      <c r="D84" t="inlineStr">
        <is>
          <t>657806960</t>
        </is>
      </c>
      <c r="E84" t="inlineStr">
        <is>
          <t>하나제약</t>
        </is>
      </c>
      <c r="F84" t="inlineStr">
        <is>
          <t>1캡슐</t>
        </is>
      </c>
      <c r="G84" s="2" t="n">
        <v>276</v>
      </c>
      <c r="H84" s="2" t="n">
        <v>2887</v>
      </c>
      <c r="I84" s="2" t="n">
        <v>59</v>
      </c>
      <c r="J84" s="2" t="n">
        <v>796812</v>
      </c>
      <c r="K84" t="inlineStr">
        <is>
          <t>2026-07-20</t>
        </is>
      </c>
      <c r="L84" t="inlineStr">
        <is>
          <t>2026-08-20</t>
        </is>
      </c>
      <c r="M84" s="2" t="n">
        <v>327</v>
      </c>
      <c r="N84" s="2" t="n">
        <v>90252</v>
      </c>
      <c r="O84" s="2" t="n">
        <v>0</v>
      </c>
      <c r="P84" t="inlineStr">
        <is>
          <t>OH01-9</t>
        </is>
      </c>
    </row>
    <row r="85">
      <c r="A85" t="n">
        <v>84</v>
      </c>
      <c r="B85" t="inlineStr">
        <is>
          <t>비급</t>
        </is>
      </c>
      <c r="C85" t="inlineStr">
        <is>
          <t>트레스탄캡슐</t>
        </is>
      </c>
      <c r="D85" t="inlineStr">
        <is>
          <t>647802340</t>
        </is>
      </c>
      <c r="E85" t="inlineStr">
        <is>
          <t>삼진제약</t>
        </is>
      </c>
      <c r="F85" t="inlineStr">
        <is>
          <t>1캡슐</t>
        </is>
      </c>
      <c r="G85" s="2" t="n">
        <v>500</v>
      </c>
      <c r="H85" s="2" t="n">
        <v>1456</v>
      </c>
      <c r="I85" s="2" t="n">
        <v>19</v>
      </c>
      <c r="J85" s="2" t="n">
        <v>787900</v>
      </c>
      <c r="K85" t="inlineStr">
        <is>
          <t>2026-07-20</t>
        </is>
      </c>
      <c r="L85" t="inlineStr">
        <is>
          <t>2026-08-19</t>
        </is>
      </c>
      <c r="M85" s="2" t="n">
        <v>545</v>
      </c>
      <c r="N85" s="2" t="n">
        <v>241435</v>
      </c>
      <c r="O85" s="2" t="n">
        <v>0</v>
      </c>
      <c r="P85" t="inlineStr">
        <is>
          <t>파1-10</t>
        </is>
      </c>
    </row>
    <row r="86">
      <c r="A86" t="n">
        <v>85</v>
      </c>
      <c r="B86" t="inlineStr">
        <is>
          <t>보급</t>
        </is>
      </c>
      <c r="C86" t="inlineStr">
        <is>
          <t>바이토린정10/10</t>
        </is>
      </c>
      <c r="D86" t="inlineStr">
        <is>
          <t>073100120</t>
        </is>
      </c>
      <c r="E86" t="inlineStr">
        <is>
          <t>한국오가논</t>
        </is>
      </c>
      <c r="F86" t="inlineStr">
        <is>
          <t>1정</t>
        </is>
      </c>
      <c r="G86" s="2" t="n">
        <v>779</v>
      </c>
      <c r="H86" s="2" t="n">
        <v>1008</v>
      </c>
      <c r="I86" s="2" t="n">
        <v>9</v>
      </c>
      <c r="J86" s="2" t="n">
        <v>785232</v>
      </c>
      <c r="K86" t="inlineStr">
        <is>
          <t>2026-07-20</t>
        </is>
      </c>
      <c r="L86" t="inlineStr">
        <is>
          <t>2026-08-19</t>
        </is>
      </c>
      <c r="M86" s="2" t="n">
        <v>-497</v>
      </c>
      <c r="N86" s="2" t="n">
        <v>387163</v>
      </c>
      <c r="O86" s="2" t="n">
        <v>600</v>
      </c>
      <c r="P86" t="inlineStr">
        <is>
          <t>바01-4</t>
        </is>
      </c>
    </row>
    <row r="87">
      <c r="A87" t="n">
        <v>86</v>
      </c>
      <c r="B87" t="inlineStr">
        <is>
          <t>보급</t>
        </is>
      </c>
      <c r="C87" t="inlineStr">
        <is>
          <t>뉴티린연질캡슐</t>
        </is>
      </c>
      <c r="D87" t="inlineStr">
        <is>
          <t>647803980</t>
        </is>
      </c>
      <c r="E87" t="inlineStr">
        <is>
          <t>삼진제약</t>
        </is>
      </c>
      <c r="F87" t="inlineStr">
        <is>
          <t>1캡슐</t>
        </is>
      </c>
      <c r="G87" s="2" t="n">
        <v>445</v>
      </c>
      <c r="H87" s="2" t="n">
        <v>1759</v>
      </c>
      <c r="I87" s="2" t="n">
        <v>16</v>
      </c>
      <c r="J87" s="2" t="n">
        <v>782755</v>
      </c>
      <c r="K87" t="inlineStr">
        <is>
          <t>2026-07-20</t>
        </is>
      </c>
      <c r="L87" t="inlineStr">
        <is>
          <t>2026-08-20</t>
        </is>
      </c>
      <c r="M87" s="2" t="n">
        <v>669</v>
      </c>
      <c r="N87" s="2" t="n">
        <v>297705</v>
      </c>
      <c r="O87" s="2" t="n">
        <v>0</v>
      </c>
      <c r="P87" t="inlineStr">
        <is>
          <t>B05-1</t>
        </is>
      </c>
    </row>
    <row r="88">
      <c r="A88" t="n">
        <v>87</v>
      </c>
      <c r="B88" t="inlineStr">
        <is>
          <t>보급</t>
        </is>
      </c>
      <c r="C88" t="inlineStr">
        <is>
          <t>훼로바-유서방정</t>
        </is>
      </c>
      <c r="D88" t="inlineStr">
        <is>
          <t>642202450</t>
        </is>
      </c>
      <c r="E88" t="inlineStr">
        <is>
          <t>부광약품</t>
        </is>
      </c>
      <c r="F88" t="inlineStr">
        <is>
          <t>1정</t>
        </is>
      </c>
      <c r="G88" s="2" t="n">
        <v>93</v>
      </c>
      <c r="H88" s="2" t="n">
        <v>8416</v>
      </c>
      <c r="I88" s="2" t="n">
        <v>111</v>
      </c>
      <c r="J88" s="2" t="n">
        <v>782688</v>
      </c>
      <c r="K88" t="inlineStr">
        <is>
          <t>2026-07-20</t>
        </is>
      </c>
      <c r="L88" t="inlineStr">
        <is>
          <t>2026-08-20</t>
        </is>
      </c>
      <c r="M88" s="2" t="n">
        <v>2041</v>
      </c>
      <c r="N88" s="2" t="n">
        <v>189813</v>
      </c>
      <c r="O88" s="2" t="n">
        <v>0</v>
      </c>
      <c r="P88" t="inlineStr">
        <is>
          <t>하01-5</t>
        </is>
      </c>
    </row>
    <row r="89">
      <c r="A89" t="n">
        <v>88</v>
      </c>
      <c r="B89" t="inlineStr">
        <is>
          <t>보급</t>
        </is>
      </c>
      <c r="C89" t="inlineStr">
        <is>
          <t>크라비트정500밀리그램</t>
        </is>
      </c>
      <c r="D89" t="inlineStr">
        <is>
          <t>654401870</t>
        </is>
      </c>
      <c r="E89" t="inlineStr">
        <is>
          <t>제일약품</t>
        </is>
      </c>
      <c r="F89" t="inlineStr">
        <is>
          <t>1정</t>
        </is>
      </c>
      <c r="G89" s="2" t="n">
        <v>1427</v>
      </c>
      <c r="H89" s="2" t="n">
        <v>547</v>
      </c>
      <c r="I89" s="2" t="n">
        <v>19</v>
      </c>
      <c r="J89" s="2" t="n">
        <v>780569</v>
      </c>
      <c r="K89" t="inlineStr">
        <is>
          <t>2026-07-20</t>
        </is>
      </c>
      <c r="L89" t="inlineStr">
        <is>
          <t>2026-08-20</t>
        </is>
      </c>
      <c r="M89" s="2" t="n">
        <v>220.43</v>
      </c>
      <c r="N89" s="2" t="n">
        <v>314554</v>
      </c>
      <c r="O89" s="2" t="n">
        <v>0</v>
      </c>
      <c r="P89" t="inlineStr">
        <is>
          <t>A02-8</t>
        </is>
      </c>
    </row>
    <row r="90">
      <c r="A90" t="n">
        <v>89</v>
      </c>
      <c r="B90" t="inlineStr">
        <is>
          <t>보급</t>
        </is>
      </c>
      <c r="C90" t="inlineStr">
        <is>
          <t>놀텍플러스정20/500밀리그램</t>
        </is>
      </c>
      <c r="D90" t="inlineStr">
        <is>
          <t>641706520</t>
        </is>
      </c>
      <c r="E90" t="inlineStr">
        <is>
          <t>일양약품</t>
        </is>
      </c>
      <c r="F90" t="inlineStr">
        <is>
          <t>1정</t>
        </is>
      </c>
      <c r="G90" s="2" t="n">
        <v>2144</v>
      </c>
      <c r="H90" s="2" t="n">
        <v>361</v>
      </c>
      <c r="I90" s="2" t="n">
        <v>18</v>
      </c>
      <c r="J90" s="2" t="n">
        <v>773984</v>
      </c>
      <c r="K90" t="inlineStr">
        <is>
          <t>2026-07-21</t>
        </is>
      </c>
      <c r="L90" t="inlineStr">
        <is>
          <t>2026-08-20</t>
        </is>
      </c>
      <c r="M90" s="2" t="n">
        <v>530</v>
      </c>
      <c r="N90" s="2" t="n">
        <v>1136320</v>
      </c>
      <c r="O90" s="2" t="n">
        <v>0</v>
      </c>
      <c r="P90" t="inlineStr">
        <is>
          <t>A05-4</t>
        </is>
      </c>
    </row>
    <row r="91">
      <c r="A91" t="n">
        <v>90</v>
      </c>
      <c r="B91" t="inlineStr">
        <is>
          <t>보급</t>
        </is>
      </c>
      <c r="C91" t="inlineStr">
        <is>
          <t>딜라트렌에스알정8밀리그램</t>
        </is>
      </c>
      <c r="D91" t="inlineStr">
        <is>
          <t>643308530</t>
        </is>
      </c>
      <c r="E91" t="inlineStr">
        <is>
          <t>(주)종근당</t>
        </is>
      </c>
      <c r="F91" t="inlineStr">
        <is>
          <t>1정</t>
        </is>
      </c>
      <c r="G91" s="2" t="n">
        <v>362</v>
      </c>
      <c r="H91" s="2" t="n">
        <v>2122</v>
      </c>
      <c r="I91" s="2" t="n">
        <v>24</v>
      </c>
      <c r="J91" s="2" t="n">
        <v>768164</v>
      </c>
      <c r="K91" t="inlineStr">
        <is>
          <t>2026-08-12</t>
        </is>
      </c>
      <c r="L91" t="inlineStr">
        <is>
          <t>2026-08-20</t>
        </is>
      </c>
      <c r="M91" s="2" t="n">
        <v>1748</v>
      </c>
      <c r="N91" s="2" t="n">
        <v>632776</v>
      </c>
      <c r="O91" s="2" t="n">
        <v>0</v>
      </c>
    </row>
    <row r="92">
      <c r="A92" t="n">
        <v>91</v>
      </c>
      <c r="B92" t="inlineStr">
        <is>
          <t>보급</t>
        </is>
      </c>
      <c r="C92" t="inlineStr">
        <is>
          <t>익셀캡슐25밀리그램</t>
        </is>
      </c>
      <c r="D92" t="inlineStr">
        <is>
          <t>642201840</t>
        </is>
      </c>
      <c r="E92" t="inlineStr">
        <is>
          <t>부광약품</t>
        </is>
      </c>
      <c r="F92" t="inlineStr">
        <is>
          <t>1캡슐</t>
        </is>
      </c>
      <c r="G92" s="2" t="n">
        <v>322</v>
      </c>
      <c r="H92" s="2" t="n">
        <v>2367</v>
      </c>
      <c r="I92" s="2" t="n">
        <v>25</v>
      </c>
      <c r="J92" s="2" t="n">
        <v>762174</v>
      </c>
      <c r="K92" t="inlineStr">
        <is>
          <t>2026-07-20</t>
        </is>
      </c>
      <c r="L92" t="inlineStr">
        <is>
          <t>2026-08-20</t>
        </is>
      </c>
      <c r="M92" s="2" t="n">
        <v>577</v>
      </c>
      <c r="N92" s="2" t="n">
        <v>185794</v>
      </c>
      <c r="O92" s="2" t="n">
        <v>0</v>
      </c>
      <c r="P92" t="inlineStr">
        <is>
          <t>OH04-5</t>
        </is>
      </c>
    </row>
    <row r="93">
      <c r="A93" t="n">
        <v>92</v>
      </c>
      <c r="B93" t="inlineStr">
        <is>
          <t>보급</t>
        </is>
      </c>
      <c r="C93" t="inlineStr">
        <is>
          <t>호이스타정</t>
        </is>
      </c>
      <c r="D93" t="inlineStr">
        <is>
          <t>641605440</t>
        </is>
      </c>
      <c r="E93" t="inlineStr">
        <is>
          <t>(주)대웅제약</t>
        </is>
      </c>
      <c r="F93" t="inlineStr">
        <is>
          <t>1정</t>
        </is>
      </c>
      <c r="G93" s="2" t="n">
        <v>242</v>
      </c>
      <c r="H93" s="2" t="n">
        <v>3122</v>
      </c>
      <c r="I93" s="2" t="n">
        <v>17</v>
      </c>
      <c r="J93" s="2" t="n">
        <v>755524</v>
      </c>
      <c r="K93" t="inlineStr">
        <is>
          <t>2026-07-23</t>
        </is>
      </c>
      <c r="L93" t="inlineStr">
        <is>
          <t>2026-08-18</t>
        </is>
      </c>
      <c r="M93" s="2" t="n">
        <v>2131</v>
      </c>
      <c r="N93" s="2" t="n">
        <v>515702</v>
      </c>
      <c r="O93" s="2" t="n">
        <v>0</v>
      </c>
      <c r="P93" t="inlineStr">
        <is>
          <t>하01-2</t>
        </is>
      </c>
    </row>
    <row r="94">
      <c r="A94" t="n">
        <v>93</v>
      </c>
      <c r="B94" t="inlineStr">
        <is>
          <t>보급</t>
        </is>
      </c>
      <c r="C94" t="inlineStr">
        <is>
          <t>디카맥스디정</t>
        </is>
      </c>
      <c r="D94" t="inlineStr">
        <is>
          <t>664601180</t>
        </is>
      </c>
      <c r="E94" t="inlineStr">
        <is>
          <t>다림바이오텍</t>
        </is>
      </c>
      <c r="F94" t="inlineStr">
        <is>
          <t>1정</t>
        </is>
      </c>
      <c r="G94" s="2" t="n">
        <v>85</v>
      </c>
      <c r="H94" s="2" t="n">
        <v>8884</v>
      </c>
      <c r="I94" s="2" t="n">
        <v>119</v>
      </c>
      <c r="J94" s="2" t="n">
        <v>755140</v>
      </c>
      <c r="K94" t="inlineStr">
        <is>
          <t>2026-07-20</t>
        </is>
      </c>
      <c r="L94" t="inlineStr">
        <is>
          <t>2026-08-20</t>
        </is>
      </c>
      <c r="M94" s="2" t="n">
        <v>2362</v>
      </c>
      <c r="N94" s="2" t="n">
        <v>200770</v>
      </c>
      <c r="O94" s="2" t="n">
        <v>0</v>
      </c>
      <c r="P94" t="inlineStr">
        <is>
          <t>다01-11</t>
        </is>
      </c>
    </row>
    <row r="95">
      <c r="A95" t="n">
        <v>94</v>
      </c>
      <c r="B95" t="inlineStr">
        <is>
          <t>보급</t>
        </is>
      </c>
      <c r="C95" t="inlineStr">
        <is>
          <t>애니디핀에스정5밀리그램</t>
        </is>
      </c>
      <c r="D95" t="inlineStr">
        <is>
          <t>643305880</t>
        </is>
      </c>
      <c r="E95" t="inlineStr">
        <is>
          <t>(주)종근당</t>
        </is>
      </c>
      <c r="F95" t="inlineStr">
        <is>
          <t>1정</t>
        </is>
      </c>
      <c r="G95" s="2" t="n">
        <v>556</v>
      </c>
      <c r="H95" s="2" t="n">
        <v>1343</v>
      </c>
      <c r="I95" s="2" t="n">
        <v>10</v>
      </c>
      <c r="J95" s="2" t="n">
        <v>746708</v>
      </c>
      <c r="K95" t="inlineStr">
        <is>
          <t>2026-07-21</t>
        </is>
      </c>
      <c r="L95" t="inlineStr">
        <is>
          <t>2026-08-19</t>
        </is>
      </c>
      <c r="M95" s="2" t="n">
        <v>1241</v>
      </c>
      <c r="N95" s="2" t="n">
        <v>689996</v>
      </c>
      <c r="O95" s="2" t="n">
        <v>0</v>
      </c>
      <c r="P95" t="inlineStr">
        <is>
          <t>아2-10</t>
        </is>
      </c>
    </row>
    <row r="96">
      <c r="A96" t="n">
        <v>95</v>
      </c>
      <c r="B96" t="inlineStr">
        <is>
          <t>보급</t>
        </is>
      </c>
      <c r="C96" t="inlineStr">
        <is>
          <t>뉴멘타민서방캡슐16밀리그램</t>
        </is>
      </c>
      <c r="D96" t="inlineStr">
        <is>
          <t>642802350</t>
        </is>
      </c>
      <c r="E96" t="inlineStr">
        <is>
          <t>고려제약</t>
        </is>
      </c>
      <c r="F96" t="inlineStr">
        <is>
          <t>1캡슐</t>
        </is>
      </c>
      <c r="G96" s="2" t="n">
        <v>1905</v>
      </c>
      <c r="H96" s="2" t="n">
        <v>391</v>
      </c>
      <c r="I96" s="2" t="n">
        <v>6</v>
      </c>
      <c r="J96" s="2" t="n">
        <v>744855</v>
      </c>
      <c r="K96" t="inlineStr">
        <is>
          <t>2026-07-22</t>
        </is>
      </c>
      <c r="L96" t="inlineStr">
        <is>
          <t>2026-08-20</t>
        </is>
      </c>
      <c r="M96" s="2" t="n">
        <v>1425</v>
      </c>
      <c r="N96" s="2" t="n">
        <v>2714625</v>
      </c>
      <c r="O96" s="2" t="n">
        <v>0</v>
      </c>
      <c r="P96" t="inlineStr">
        <is>
          <t>A03-6</t>
        </is>
      </c>
    </row>
    <row r="97">
      <c r="A97" t="n">
        <v>96</v>
      </c>
      <c r="B97" t="inlineStr">
        <is>
          <t>보급</t>
        </is>
      </c>
      <c r="C97" t="inlineStr">
        <is>
          <t>네시나액트정25/15밀리그램</t>
        </is>
      </c>
      <c r="D97" t="inlineStr">
        <is>
          <t>693903820</t>
        </is>
      </c>
      <c r="E97" t="inlineStr">
        <is>
          <t>셀트리온제약</t>
        </is>
      </c>
      <c r="F97" t="inlineStr">
        <is>
          <t>1정</t>
        </is>
      </c>
      <c r="G97" s="2" t="n">
        <v>1064</v>
      </c>
      <c r="H97" s="2" t="n">
        <v>697</v>
      </c>
      <c r="I97" s="2" t="n">
        <v>9</v>
      </c>
      <c r="J97" s="2" t="n">
        <v>741608</v>
      </c>
      <c r="K97" t="inlineStr">
        <is>
          <t>2026-07-20</t>
        </is>
      </c>
      <c r="L97" t="inlineStr">
        <is>
          <t>2026-08-20</t>
        </is>
      </c>
      <c r="M97" s="2" t="n">
        <v>155</v>
      </c>
      <c r="N97" s="2" t="n">
        <v>164920</v>
      </c>
      <c r="O97" s="2" t="n">
        <v>0</v>
      </c>
      <c r="P97" t="inlineStr">
        <is>
          <t>나01-2</t>
        </is>
      </c>
    </row>
    <row r="98">
      <c r="A98" t="n">
        <v>97</v>
      </c>
      <c r="B98" t="inlineStr">
        <is>
          <t>보급</t>
        </is>
      </c>
      <c r="C98" t="inlineStr">
        <is>
          <t>리토바젯정10/40밀리그램</t>
        </is>
      </c>
      <c r="D98" t="inlineStr">
        <is>
          <t>641607540</t>
        </is>
      </c>
      <c r="E98" t="inlineStr">
        <is>
          <t>(주)대웅제약</t>
        </is>
      </c>
      <c r="F98" t="inlineStr">
        <is>
          <t>1정</t>
        </is>
      </c>
      <c r="G98" s="2" t="n">
        <v>1201</v>
      </c>
      <c r="H98" s="2" t="n">
        <v>617</v>
      </c>
      <c r="I98" s="2" t="n">
        <v>6</v>
      </c>
      <c r="J98" s="2" t="n">
        <v>741017</v>
      </c>
      <c r="K98" t="inlineStr">
        <is>
          <t>2026-07-27</t>
        </is>
      </c>
      <c r="L98" t="inlineStr">
        <is>
          <t>2026-08-20</t>
        </is>
      </c>
      <c r="M98" s="2" t="n">
        <v>159</v>
      </c>
      <c r="N98" s="2" t="n">
        <v>190959</v>
      </c>
      <c r="O98" s="2" t="n">
        <v>0</v>
      </c>
      <c r="P98" t="inlineStr">
        <is>
          <t>A01-8</t>
        </is>
      </c>
    </row>
    <row r="99">
      <c r="A99" t="n">
        <v>98</v>
      </c>
      <c r="B99" t="inlineStr">
        <is>
          <t>보급</t>
        </is>
      </c>
      <c r="C99" t="inlineStr">
        <is>
          <t>듀카브정30/5밀리그램</t>
        </is>
      </c>
      <c r="D99" t="inlineStr">
        <is>
          <t>641906500</t>
        </is>
      </c>
      <c r="E99" t="inlineStr">
        <is>
          <t>(주)보령</t>
        </is>
      </c>
      <c r="F99" t="inlineStr">
        <is>
          <t>1정</t>
        </is>
      </c>
      <c r="G99" s="2" t="n">
        <v>622</v>
      </c>
      <c r="H99" s="2" t="n">
        <v>1163.5</v>
      </c>
      <c r="I99" s="2" t="n">
        <v>15</v>
      </c>
      <c r="J99" s="2" t="n">
        <v>723697</v>
      </c>
      <c r="K99" t="inlineStr">
        <is>
          <t>2026-07-20</t>
        </is>
      </c>
      <c r="L99" t="inlineStr">
        <is>
          <t>2026-08-19</t>
        </is>
      </c>
      <c r="M99" s="2" t="n">
        <v>625.5</v>
      </c>
      <c r="N99" s="2" t="n">
        <v>389061</v>
      </c>
      <c r="O99" s="2" t="n">
        <v>0</v>
      </c>
      <c r="P99" t="inlineStr">
        <is>
          <t>대01-6</t>
        </is>
      </c>
    </row>
    <row r="100">
      <c r="A100" t="n">
        <v>99</v>
      </c>
      <c r="B100" t="inlineStr">
        <is>
          <t>보급</t>
        </is>
      </c>
      <c r="C100" t="inlineStr">
        <is>
          <t>글레존정</t>
        </is>
      </c>
      <c r="D100" t="inlineStr">
        <is>
          <t>647800120</t>
        </is>
      </c>
      <c r="E100" t="inlineStr">
        <is>
          <t>삼진제약</t>
        </is>
      </c>
      <c r="F100" t="inlineStr">
        <is>
          <t>1정</t>
        </is>
      </c>
      <c r="G100" s="2" t="n">
        <v>646</v>
      </c>
      <c r="H100" s="2" t="n">
        <v>1117</v>
      </c>
      <c r="I100" s="2" t="n">
        <v>14</v>
      </c>
      <c r="J100" s="2" t="n">
        <v>721582</v>
      </c>
      <c r="K100" t="inlineStr">
        <is>
          <t>2026-07-21</t>
        </is>
      </c>
      <c r="L100" t="inlineStr">
        <is>
          <t>2026-08-20</t>
        </is>
      </c>
      <c r="M100" s="2" t="n">
        <v>563</v>
      </c>
      <c r="N100" s="2" t="n">
        <v>364021</v>
      </c>
      <c r="O100" s="2" t="n">
        <v>0</v>
      </c>
      <c r="P100" t="inlineStr">
        <is>
          <t>가01-2</t>
        </is>
      </c>
    </row>
    <row r="101">
      <c r="A101" t="n">
        <v>100</v>
      </c>
      <c r="B101" t="inlineStr">
        <is>
          <t>보급</t>
        </is>
      </c>
      <c r="C101" t="inlineStr">
        <is>
          <t>모누롤산</t>
        </is>
      </c>
      <c r="D101" t="inlineStr">
        <is>
          <t>659900061</t>
        </is>
      </c>
      <c r="E101" t="inlineStr">
        <is>
          <t>(주)한국로슈</t>
        </is>
      </c>
      <c r="F101" t="inlineStr">
        <is>
          <t>8g</t>
        </is>
      </c>
      <c r="G101" s="2" t="n">
        <v>5449</v>
      </c>
      <c r="H101" s="2" t="n">
        <v>132</v>
      </c>
      <c r="I101" s="2" t="n">
        <v>33</v>
      </c>
      <c r="J101" s="2" t="n">
        <v>719268</v>
      </c>
      <c r="K101" t="inlineStr">
        <is>
          <t>2026-07-20</t>
        </is>
      </c>
      <c r="L101" t="inlineStr">
        <is>
          <t>2026-08-20</t>
        </is>
      </c>
      <c r="M101" s="2" t="n">
        <v>55</v>
      </c>
      <c r="N101" s="2" t="n">
        <v>299695</v>
      </c>
      <c r="O101" s="2" t="n">
        <v>0</v>
      </c>
      <c r="P101" t="inlineStr">
        <is>
          <t>A13-4</t>
        </is>
      </c>
    </row>
    <row r="102">
      <c r="A102" t="n">
        <v>101</v>
      </c>
      <c r="B102" t="inlineStr">
        <is>
          <t>보급</t>
        </is>
      </c>
      <c r="C102" t="inlineStr">
        <is>
          <t>렘보정코정</t>
        </is>
      </c>
      <c r="D102" t="inlineStr">
        <is>
          <t>644101040</t>
        </is>
      </c>
      <c r="E102" t="inlineStr">
        <is>
          <t>중외신약</t>
        </is>
      </c>
      <c r="F102" t="inlineStr">
        <is>
          <t>1정</t>
        </is>
      </c>
      <c r="G102" s="2" t="n">
        <v>170</v>
      </c>
      <c r="H102" s="2" t="n">
        <v>4150</v>
      </c>
      <c r="I102" s="2" t="n">
        <v>23</v>
      </c>
      <c r="J102" s="2" t="n">
        <v>705500</v>
      </c>
      <c r="K102" t="inlineStr">
        <is>
          <t>2026-07-21</t>
        </is>
      </c>
      <c r="L102" t="inlineStr">
        <is>
          <t>2026-08-19</t>
        </is>
      </c>
      <c r="M102" s="2" t="n">
        <v>1509.95</v>
      </c>
      <c r="N102" s="2" t="n">
        <v>256692</v>
      </c>
      <c r="O102" s="2" t="n">
        <v>1500</v>
      </c>
      <c r="P102" t="inlineStr">
        <is>
          <t>E01-5</t>
        </is>
      </c>
    </row>
    <row r="103">
      <c r="A103" t="n">
        <v>102</v>
      </c>
      <c r="B103" t="inlineStr">
        <is>
          <t>보백</t>
        </is>
      </c>
      <c r="C103" t="inlineStr">
        <is>
          <t>메디락디에스장용캡슐</t>
        </is>
      </c>
      <c r="D103" t="inlineStr">
        <is>
          <t>643500900</t>
        </is>
      </c>
      <c r="E103" t="inlineStr">
        <is>
          <t>한미약품</t>
        </is>
      </c>
      <c r="F103" t="inlineStr">
        <is>
          <t>1캡슐</t>
        </is>
      </c>
      <c r="G103" s="2" t="n">
        <v>96</v>
      </c>
      <c r="H103" s="2" t="n">
        <v>4837</v>
      </c>
      <c r="I103" s="2" t="n">
        <v>171</v>
      </c>
      <c r="J103" s="2" t="n">
        <v>464352</v>
      </c>
      <c r="K103" t="inlineStr">
        <is>
          <t>2026-07-20</t>
        </is>
      </c>
      <c r="L103" t="inlineStr">
        <is>
          <t>2026-08-20</t>
        </is>
      </c>
      <c r="M103" s="2" t="n">
        <v>1284</v>
      </c>
      <c r="N103" s="2" t="n">
        <v>123264</v>
      </c>
      <c r="O103" s="2" t="n">
        <v>0</v>
      </c>
      <c r="P103" t="inlineStr">
        <is>
          <t>마01-8</t>
        </is>
      </c>
    </row>
    <row r="104">
      <c r="A104" t="n">
        <v>103</v>
      </c>
      <c r="B104" t="inlineStr">
        <is>
          <t>보급</t>
        </is>
      </c>
      <c r="C104" t="inlineStr">
        <is>
          <t>스티렌정60mg</t>
        </is>
      </c>
      <c r="D104" t="inlineStr">
        <is>
          <t>642502290</t>
        </is>
      </c>
      <c r="E104" t="inlineStr">
        <is>
          <t>동아제약</t>
        </is>
      </c>
      <c r="F104" t="inlineStr">
        <is>
          <t>1정</t>
        </is>
      </c>
      <c r="G104" s="2" t="n">
        <v>95</v>
      </c>
      <c r="H104" s="2" t="n">
        <v>4546</v>
      </c>
      <c r="I104" s="2" t="n">
        <v>49</v>
      </c>
      <c r="J104" s="2" t="n">
        <v>431870</v>
      </c>
      <c r="K104" t="inlineStr">
        <is>
          <t>2026-07-21</t>
        </is>
      </c>
      <c r="L104" t="inlineStr">
        <is>
          <t>2026-08-18</t>
        </is>
      </c>
      <c r="M104" s="2" t="n">
        <v>3200</v>
      </c>
      <c r="N104" s="2" t="n">
        <v>304000</v>
      </c>
      <c r="O104" s="2" t="n">
        <v>0</v>
      </c>
      <c r="P104" t="inlineStr">
        <is>
          <t>사01-8</t>
        </is>
      </c>
    </row>
    <row r="105">
      <c r="A105" t="n">
        <v>104</v>
      </c>
      <c r="B105" t="inlineStr">
        <is>
          <t>보급</t>
        </is>
      </c>
      <c r="C105" t="inlineStr">
        <is>
          <t>뮤테란캡셀200밀리그램</t>
        </is>
      </c>
      <c r="D105" t="inlineStr">
        <is>
          <t>651600300</t>
        </is>
      </c>
      <c r="E105" t="inlineStr">
        <is>
          <t>한화제약</t>
        </is>
      </c>
      <c r="F105" t="inlineStr">
        <is>
          <t>1캡슐</t>
        </is>
      </c>
      <c r="G105" s="2" t="n">
        <v>77</v>
      </c>
      <c r="H105" s="2" t="n">
        <v>4909</v>
      </c>
      <c r="I105" s="2" t="n">
        <v>107</v>
      </c>
      <c r="J105" s="2" t="n">
        <v>377993</v>
      </c>
      <c r="K105" t="inlineStr">
        <is>
          <t>2026-07-20</t>
        </is>
      </c>
      <c r="L105" t="inlineStr">
        <is>
          <t>2026-08-20</t>
        </is>
      </c>
      <c r="M105" s="2" t="n">
        <v>1094</v>
      </c>
      <c r="N105" s="2" t="n">
        <v>84238</v>
      </c>
      <c r="O105" s="2" t="n">
        <v>0</v>
      </c>
      <c r="P105" t="inlineStr">
        <is>
          <t>마01-5</t>
        </is>
      </c>
    </row>
    <row r="106">
      <c r="A106" t="n">
        <v>105</v>
      </c>
      <c r="B106" t="inlineStr">
        <is>
          <t>보급</t>
        </is>
      </c>
      <c r="C106" t="inlineStr">
        <is>
          <t>자낙스정0.25밀리그램</t>
        </is>
      </c>
      <c r="D106" t="inlineStr">
        <is>
          <t>073400470</t>
        </is>
      </c>
      <c r="E106" t="inlineStr">
        <is>
          <t>비아트리스</t>
        </is>
      </c>
      <c r="F106" t="inlineStr">
        <is>
          <t>1정</t>
        </is>
      </c>
      <c r="G106" s="2" t="n">
        <v>84</v>
      </c>
      <c r="H106" s="2" t="n">
        <v>4210.5</v>
      </c>
      <c r="I106" s="2" t="n">
        <v>193</v>
      </c>
      <c r="J106" s="2" t="n">
        <v>353682</v>
      </c>
      <c r="K106" t="inlineStr">
        <is>
          <t>2026-07-20</t>
        </is>
      </c>
      <c r="L106" t="inlineStr">
        <is>
          <t>2026-08-20</t>
        </is>
      </c>
      <c r="M106" s="2" t="n">
        <v>1609</v>
      </c>
      <c r="N106" s="2" t="n">
        <v>135156</v>
      </c>
      <c r="O106" s="2" t="n">
        <v>500</v>
      </c>
      <c r="P106" t="inlineStr">
        <is>
          <t>향정</t>
        </is>
      </c>
    </row>
    <row r="107">
      <c r="A107" t="n">
        <v>106</v>
      </c>
      <c r="B107" t="inlineStr">
        <is>
          <t>보급</t>
        </is>
      </c>
      <c r="C107" t="inlineStr">
        <is>
          <t>다이아벡민정500밀리그램</t>
        </is>
      </c>
      <c r="D107" t="inlineStr">
        <is>
          <t>694001870</t>
        </is>
      </c>
      <c r="E107" t="inlineStr">
        <is>
          <t>대웅바이오</t>
        </is>
      </c>
      <c r="F107" t="inlineStr">
        <is>
          <t>1정</t>
        </is>
      </c>
      <c r="G107" s="2" t="n">
        <v>70</v>
      </c>
      <c r="H107" s="2" t="n">
        <v>3818</v>
      </c>
      <c r="I107" s="2" t="n">
        <v>38</v>
      </c>
      <c r="J107" s="2" t="n">
        <v>267260</v>
      </c>
      <c r="K107" t="inlineStr">
        <is>
          <t>2026-07-20</t>
        </is>
      </c>
      <c r="L107" t="inlineStr">
        <is>
          <t>2026-08-21</t>
        </is>
      </c>
      <c r="M107" s="2" t="n">
        <v>1161</v>
      </c>
      <c r="N107" s="2" t="n">
        <v>81270</v>
      </c>
      <c r="O107" s="2" t="n">
        <v>0</v>
      </c>
      <c r="P107" t="inlineStr">
        <is>
          <t>마01-5</t>
        </is>
      </c>
    </row>
    <row r="108">
      <c r="A108" t="n">
        <v>107</v>
      </c>
      <c r="B108" t="inlineStr">
        <is>
          <t>보급</t>
        </is>
      </c>
      <c r="C108" t="inlineStr">
        <is>
          <t>부광메티마졸정</t>
        </is>
      </c>
      <c r="D108" t="inlineStr">
        <is>
          <t>642200680</t>
        </is>
      </c>
      <c r="E108" t="inlineStr">
        <is>
          <t>부광약품</t>
        </is>
      </c>
      <c r="F108" t="inlineStr">
        <is>
          <t>1정</t>
        </is>
      </c>
      <c r="G108" s="2" t="n">
        <v>39</v>
      </c>
      <c r="H108" s="2" t="n">
        <v>3893.5</v>
      </c>
      <c r="I108" s="2" t="n">
        <v>54</v>
      </c>
      <c r="J108" s="2" t="n">
        <v>151849</v>
      </c>
      <c r="K108" t="inlineStr">
        <is>
          <t>2026-07-20</t>
        </is>
      </c>
      <c r="L108" t="inlineStr">
        <is>
          <t>2026-08-20</t>
        </is>
      </c>
      <c r="M108" s="2" t="n">
        <v>1724.5</v>
      </c>
      <c r="N108" s="2" t="n">
        <v>67256</v>
      </c>
      <c r="O108" s="2" t="n">
        <v>0</v>
      </c>
      <c r="P108" t="inlineStr">
        <is>
          <t>마01-3</t>
        </is>
      </c>
    </row>
    <row r="109">
      <c r="A109" t="n">
        <v>108</v>
      </c>
      <c r="B109" t="inlineStr">
        <is>
          <t>보급</t>
        </is>
      </c>
      <c r="C109" t="inlineStr">
        <is>
          <t>씨지록신정75마이크로그램</t>
        </is>
      </c>
      <c r="D109" t="inlineStr">
        <is>
          <t>664602220</t>
        </is>
      </c>
      <c r="E109" t="inlineStr">
        <is>
          <t>(주)다림바이오텍</t>
        </is>
      </c>
      <c r="F109" t="inlineStr">
        <is>
          <t>1정</t>
        </is>
      </c>
      <c r="G109" s="2" t="n">
        <v>33</v>
      </c>
      <c r="H109" s="2" t="n">
        <v>4415.5</v>
      </c>
      <c r="I109" s="2" t="n">
        <v>53</v>
      </c>
      <c r="J109" s="2" t="n">
        <v>145712</v>
      </c>
      <c r="K109" t="inlineStr">
        <is>
          <t>2026-07-20</t>
        </is>
      </c>
      <c r="L109" t="inlineStr">
        <is>
          <t>2026-08-20</t>
        </is>
      </c>
      <c r="M109" s="2" t="n">
        <v>3340.5</v>
      </c>
      <c r="N109" s="2" t="n">
        <v>110237</v>
      </c>
      <c r="O109" s="2" t="n">
        <v>0</v>
      </c>
      <c r="P109" t="inlineStr">
        <is>
          <t>A05-5</t>
        </is>
      </c>
    </row>
    <row r="110">
      <c r="A110" t="n">
        <v>109</v>
      </c>
      <c r="B110" t="inlineStr">
        <is>
          <t>보급</t>
        </is>
      </c>
      <c r="C110" t="inlineStr">
        <is>
          <t>씨지록신정50마이크로그램</t>
        </is>
      </c>
      <c r="D110" t="inlineStr">
        <is>
          <t>664600700</t>
        </is>
      </c>
      <c r="E110" t="inlineStr">
        <is>
          <t>다림바이오텍</t>
        </is>
      </c>
      <c r="F110" t="inlineStr">
        <is>
          <t>1정</t>
        </is>
      </c>
      <c r="G110" s="2" t="n">
        <v>33</v>
      </c>
      <c r="H110" s="2" t="n">
        <v>4399</v>
      </c>
      <c r="I110" s="2" t="n">
        <v>54</v>
      </c>
      <c r="J110" s="2" t="n">
        <v>145167</v>
      </c>
      <c r="K110" t="inlineStr">
        <is>
          <t>2026-07-20</t>
        </is>
      </c>
      <c r="L110" t="inlineStr">
        <is>
          <t>2026-08-20</t>
        </is>
      </c>
      <c r="M110" s="2" t="n">
        <v>6387</v>
      </c>
      <c r="N110" s="2" t="n">
        <v>210771</v>
      </c>
      <c r="O110" s="2" t="n">
        <v>0</v>
      </c>
      <c r="P110" t="inlineStr">
        <is>
          <t>A05-5</t>
        </is>
      </c>
    </row>
    <row r="111">
      <c r="A111" t="n">
        <v>110</v>
      </c>
      <c r="B111" t="inlineStr">
        <is>
          <t>보급</t>
        </is>
      </c>
      <c r="C111" t="inlineStr">
        <is>
          <t>뮤코졸정</t>
        </is>
      </c>
      <c r="D111" t="inlineStr">
        <is>
          <t>642200520</t>
        </is>
      </c>
      <c r="E111" t="inlineStr">
        <is>
          <t>부광약품</t>
        </is>
      </c>
      <c r="F111" t="inlineStr">
        <is>
          <t>1정</t>
        </is>
      </c>
      <c r="G111" s="2" t="n">
        <v>27</v>
      </c>
      <c r="H111" s="2" t="n">
        <v>4612.38</v>
      </c>
      <c r="I111" s="2" t="n">
        <v>62</v>
      </c>
      <c r="J111" s="2" t="n">
        <v>124535</v>
      </c>
      <c r="K111" t="inlineStr">
        <is>
          <t>2026-07-20</t>
        </is>
      </c>
      <c r="L111" t="inlineStr">
        <is>
          <t>2026-08-20</t>
        </is>
      </c>
      <c r="M111" s="2" t="n">
        <v>1714.58</v>
      </c>
      <c r="N111" s="2" t="n">
        <v>46294</v>
      </c>
      <c r="O111" s="2" t="n">
        <v>0</v>
      </c>
      <c r="P111" t="inlineStr">
        <is>
          <t>마01-8</t>
        </is>
      </c>
    </row>
    <row r="112">
      <c r="A112" t="n">
        <v>111</v>
      </c>
      <c r="B112" t="inlineStr">
        <is>
          <t>보급</t>
        </is>
      </c>
      <c r="C112" t="inlineStr">
        <is>
          <t>소론도정</t>
        </is>
      </c>
      <c r="D112" t="inlineStr">
        <is>
          <t>642105020</t>
        </is>
      </c>
      <c r="E112" t="inlineStr">
        <is>
          <t>(주)유한양행</t>
        </is>
      </c>
      <c r="F112" t="inlineStr">
        <is>
          <t>1정</t>
        </is>
      </c>
      <c r="G112" s="2" t="n">
        <v>16</v>
      </c>
      <c r="H112" s="2" t="n">
        <v>4343.5</v>
      </c>
      <c r="I112" s="2" t="n">
        <v>127</v>
      </c>
      <c r="J112" s="2" t="n">
        <v>69496</v>
      </c>
      <c r="K112" t="inlineStr">
        <is>
          <t>2026-07-20</t>
        </is>
      </c>
      <c r="L112" t="inlineStr">
        <is>
          <t>2026-08-20</t>
        </is>
      </c>
      <c r="M112" s="2" t="n">
        <v>1735.4</v>
      </c>
      <c r="N112" s="2" t="n">
        <v>27766</v>
      </c>
      <c r="O112" s="2" t="n">
        <v>0</v>
      </c>
      <c r="P112" t="inlineStr">
        <is>
          <t>사02-4</t>
        </is>
      </c>
    </row>
    <row r="113">
      <c r="A113" t="n">
        <v>112</v>
      </c>
      <c r="B113" t="inlineStr">
        <is>
          <t>보급</t>
        </is>
      </c>
      <c r="C113" t="inlineStr">
        <is>
          <t>코미시럽</t>
        </is>
      </c>
      <c r="D113" t="inlineStr">
        <is>
          <t>670301360</t>
        </is>
      </c>
      <c r="E113" t="inlineStr">
        <is>
          <t>코오롱제약</t>
        </is>
      </c>
      <c r="F113" t="inlineStr">
        <is>
          <t>1mL</t>
        </is>
      </c>
      <c r="G113" s="2" t="n">
        <v>13</v>
      </c>
      <c r="H113" s="2" t="n">
        <v>4515</v>
      </c>
      <c r="I113" s="2" t="n">
        <v>68</v>
      </c>
      <c r="J113" s="2" t="n">
        <v>58695</v>
      </c>
      <c r="K113" t="inlineStr">
        <is>
          <t>2026-07-20</t>
        </is>
      </c>
      <c r="L113" t="inlineStr">
        <is>
          <t>2026-08-19</t>
        </is>
      </c>
      <c r="M113" s="2" t="n">
        <v>5552</v>
      </c>
      <c r="N113" s="2" t="n">
        <v>72176</v>
      </c>
      <c r="O113" s="2" t="n">
        <v>0</v>
      </c>
      <c r="P113" t="inlineStr">
        <is>
          <t>A19-5</t>
        </is>
      </c>
    </row>
  </sheetData>
  <autoFilter ref="A1:P1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2026-10-15T07:01:58Z</dcterms:created>
  <dcterms:modified xmlns:dcterms="http://purl.org/dc/terms/" xmlns:xsi="http://www.w3.org/2001/XMLSchema-instance" xsi:type="dcterms:W3CDTF">2026-10-15T07:37:15Z</dcterms:modified>
</cp:coreProperties>
</file>